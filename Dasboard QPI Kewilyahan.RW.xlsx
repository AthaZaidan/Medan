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Dashboard" sheetId="1" r:id="rId1"/>
    <sheet name="Panduan" sheetId="2" r:id="rId2"/>
    <sheet name="Parameter" sheetId="3" r:id="rId3"/>
    <sheet name="Cek_A" sheetId="4" r:id="rId4"/>
    <sheet name="Cek_B" sheetId="5" r:id="rId5"/>
    <sheet name="Cek_C" sheetId="6" r:id="rId6"/>
    <sheet name="Cek_D" sheetId="7" r:id="rId7"/>
    <sheet name="Cek_E" sheetId="8" r:id="rId8"/>
    <sheet name="Cek_F" sheetId="9" r:id="rId9"/>
    <sheet name="Skor_Dimensi" sheetId="10" r:id="rId10"/>
    <sheet name="QPI_Inti" sheetId="11" r:id="rId11"/>
    <sheet name="Master_Item" sheetId="12" r:id="rId12"/>
    <sheet name="Master_SubVar" sheetId="13" r:id="rId13"/>
  </sheets>
  <definedNames/>
  <calcPr fullCalcOnLoad="1" calcId="124519"/>
</workbook>
</file>

<file path=xl/sharedStrings.xml><?xml version="1.0" encoding="utf-8"?>
<sst xmlns="http://schemas.openxmlformats.org/spreadsheetml/2006/main" uniqueCount="1412" count="1412">
  <si>
    <t>DASHBOARD QPI CHECKLIST GUTTMAN 2026 — KOTA MEDAN (21 KECAMATAN)</t>
  </si>
  <si>
    <t>Terhubung otomatis dari sheet Cek_A..Cek_F melalui rumus — isi checklist Ya/Tidak di sheet Cek_A..Cek_F (kecamatan = kolom, indikator = baris), seluruh angka di sini menghitung ulang sendiri.</t>
  </si>
  <si>
    <t>RATA-RATA QPI INTI KOTA</t>
  </si>
  <si>
    <t>KECAMATAN KATEGORI KRITIS</t>
  </si>
  <si>
    <t>KECAMATAN TERKENA FLOOR</t>
  </si>
  <si>
    <t>KECAMATAN SANGAT BAIK</t>
  </si>
  <si>
    <t>KECAMATAN TERENDAH</t>
  </si>
  <si>
    <t>PERINGKAT 21 KECAMATAN — QPI INTI &amp; SKOR DIMENSI D1-D7</t>
  </si>
  <si>
    <t>Rank</t>
  </si>
  <si>
    <t>Kecamatan</t>
  </si>
  <si>
    <t>QPI Inti</t>
  </si>
  <si>
    <t>Kategori</t>
  </si>
  <si>
    <t>D1</t>
  </si>
  <si>
    <t>D2</t>
  </si>
  <si>
    <t>D3</t>
  </si>
  <si>
    <t>D4</t>
  </si>
  <si>
    <t>D5</t>
  </si>
  <si>
    <t>D6</t>
  </si>
  <si>
    <t>D7</t>
  </si>
  <si>
    <t>Floor</t>
  </si>
  <si>
    <t>10 SUB-ITEM KOTA YANG PALING PERLU DIBENAHI</t>
  </si>
  <si>
    <t>5 SUB-VARIABEL KOTA YANG PALING PERLU DIPERHATIKAN</t>
  </si>
  <si>
    <t>#</t>
  </si>
  <si>
    <t>Kode</t>
  </si>
  <si>
    <t>Kuesioner</t>
  </si>
  <si>
    <t>Skor</t>
  </si>
  <si>
    <t>Sub-Variabel</t>
  </si>
  <si>
    <t>Dimensi</t>
  </si>
  <si>
    <t>Kategori: Sangat Baik &gt;=85 | Baik 75-&lt;85 | Cukup 65-&lt;75 | Perlu Perbaikan 50-&lt;65 | Kritis &lt;50  |  Floor aktif = salah satu D1-D5 di bawah ambang floor (lihat sheet Parameter)  |  Warna merah-&gt;kuning-&gt;hijau = skor rendah-&gt;tinggi</t>
  </si>
  <si>
    <t>CEK_C — KUESIONER C — TATA KELOLA &amp; GOOD GOVERNANCE (DIMENSI D2)</t>
  </si>
  <si>
    <t>Skala asli instrumen: 1–5. Isi kolom kecamatan (Ya/Tidak) pada baris sub-item (a-e) di bawah tiap indikator induk. Baris 'Skor' &amp; 'SKOR SUBVAR'/'SKOR BLOK' terisi otomatis.</t>
  </si>
  <si>
    <t>No</t>
  </si>
  <si>
    <t>Pernyataan / Uraian Indikator</t>
  </si>
  <si>
    <t>Bobot Asli (%)</t>
  </si>
  <si>
    <t>Tembung</t>
  </si>
  <si>
    <t>Belawan</t>
  </si>
  <si>
    <t>Marelan</t>
  </si>
  <si>
    <t>Amplas</t>
  </si>
  <si>
    <t>Perjuangan</t>
  </si>
  <si>
    <t>Deli</t>
  </si>
  <si>
    <t>Tuntungan</t>
  </si>
  <si>
    <t>Selayang</t>
  </si>
  <si>
    <t>Polonia</t>
  </si>
  <si>
    <t>Area</t>
  </si>
  <si>
    <t>Kota</t>
  </si>
  <si>
    <t>Baru</t>
  </si>
  <si>
    <t>Johor</t>
  </si>
  <si>
    <t>Denai</t>
  </si>
  <si>
    <t>Labuhan</t>
  </si>
  <si>
    <t>Timur</t>
  </si>
  <si>
    <t>Barat</t>
  </si>
  <si>
    <t>Helvetia</t>
  </si>
  <si>
    <t>Sunggal</t>
  </si>
  <si>
    <t>Maimun</t>
  </si>
  <si>
    <t>Petisah</t>
  </si>
  <si>
    <t>Rata-rata
Kota</t>
  </si>
  <si>
    <t>SUB-VARIABEL: Transparansi — Keterbukaan Informasi Program Persampahan &amp; Adminduk  [D2]</t>
  </si>
  <si>
    <t>C1</t>
  </si>
  <si>
    <t>Jadwal pengangkutan sampah dari TPS ke TPA diumumkan secara terbuka kepada warga (papan pengumuman, grup WA RT/RW, medsos kelurahan)</t>
  </si>
  <si>
    <t>C1a</t>
  </si>
  <si>
    <t>Jadwal pengangkutan sampah tersedia dalam bentuk tertulis/dokumen resmi</t>
  </si>
  <si>
    <t>C1b</t>
  </si>
  <si>
    <t>Jadwal tersebut dipasang di papan pengumuman fisik yang dapat dilihat warga</t>
  </si>
  <si>
    <t>C1c</t>
  </si>
  <si>
    <t>Jadwal juga disebarkan melalui grup WA RT/RW atau media sosial kelurahan</t>
  </si>
  <si>
    <t>C1d</t>
  </si>
  <si>
    <t>Informasi yang diumumkan sesuai dengan pelaksanaan aktual, tidak menyesatkan</t>
  </si>
  <si>
    <t>C1e</t>
  </si>
  <si>
    <t>Pembaruan jadwal, bila ada perubahan, diumumkan ulang melalui kanal yang sama</t>
  </si>
  <si>
    <t>C2</t>
  </si>
  <si>
    <t>Informasi lokasi, kapasitas, jam operasional &amp; tata tertib TPS/Bank Sampah tersedia dan mudah diakses warga</t>
  </si>
  <si>
    <t>C2a</t>
  </si>
  <si>
    <t>Informasi lokasi TPS/Bank Sampah dapat diperoleh warga dengan mudah</t>
  </si>
  <si>
    <t>C2b</t>
  </si>
  <si>
    <t>Informasi kapasitas &amp; jam operasional TPS dipublikasikan</t>
  </si>
  <si>
    <t>C2c</t>
  </si>
  <si>
    <t>Tata tertib penggunaan TPS (jenis sampah, jam buang) dipasang di lokasi</t>
  </si>
  <si>
    <t>C2d</t>
  </si>
  <si>
    <t>Informasi tersedia dalam lebih dari satu bentuk, baik papan fisik maupun digital</t>
  </si>
  <si>
    <t>C2e</t>
  </si>
  <si>
    <t>Informasi diperbarui bila terjadi perubahan kebijakan/operasional TPS</t>
  </si>
  <si>
    <t>C3</t>
  </si>
  <si>
    <t>Prosedur, persyaratan &amp; biaya layanan SIBISA dipublikasikan jelas di website, papan pengumuman, dan/atau media sosial kecamatan</t>
  </si>
  <si>
    <t>C3a</t>
  </si>
  <si>
    <t>Prosedur pengajuan SIBISA dipublikasikan secara tertulis</t>
  </si>
  <si>
    <t>C3b</t>
  </si>
  <si>
    <t>Persyaratan dokumen untuk tiap jenis layanan dicantumkan lengkap</t>
  </si>
  <si>
    <t>C3c</t>
  </si>
  <si>
    <t>Informasi biaya, termasuk pernyataan gratis bila berlaku, dinyatakan eksplisit</t>
  </si>
  <si>
    <t>C3d</t>
  </si>
  <si>
    <t>Publikasi tersedia di lebih dari satu kanal (website/papan/medsos kecamatan)</t>
  </si>
  <si>
    <t>C3e</t>
  </si>
  <si>
    <t>Informasi tersebut sesuai dengan praktik pelayanan aktual saat diverifikasi, tidak ada pungutan tidak resmi</t>
  </si>
  <si>
    <t>C4</t>
  </si>
  <si>
    <t>Jadwal layanan jemput bola adminduk diumumkan jauh hari sebelum pelaksanaan (kelurahan dikunjungi, tanggal, waktu, jenis dokumen)</t>
  </si>
  <si>
    <t>C4a</t>
  </si>
  <si>
    <t>Jadwal jemput bola diumumkan minimal 3 hari sebelum pelaksanaan</t>
  </si>
  <si>
    <t>C4b</t>
  </si>
  <si>
    <t>Pengumuman mencantumkan kelurahan, tanggal, waktu, dan jenis dokumen yang dilayani</t>
  </si>
  <si>
    <t>C4c</t>
  </si>
  <si>
    <t>Pengumuman disebarkan melalui kanal yang menjangkau warga kelurahan sasaran (RT/RW/WA/papan)</t>
  </si>
  <si>
    <t>C4d</t>
  </si>
  <si>
    <t>Realisasi pelaksanaan sesuai dengan yang diumumkan, tidak berubah mendadak tanpa notifikasi</t>
  </si>
  <si>
    <t>C4e</t>
  </si>
  <si>
    <t>Tersedia bukti/arsip pengumuman untuk setiap sesi jemput bola yang dilaksanakan</t>
  </si>
  <si>
    <t>SKOR SUB-VARIABEL: Transparansi</t>
  </si>
  <si>
    <t>SUB-VARIABEL: Akuntabilitas — Pertanggungjawaban &amp; Mekanisme Pengaduan  [D2]</t>
  </si>
  <si>
    <t>C5</t>
  </si>
  <si>
    <t>Kecamatan memiliki laporan evaluasi berkala kondisi &amp; operasional TPS serta capaian program pengangkutan yang dapat diakses publik</t>
  </si>
  <si>
    <t>C5a</t>
  </si>
  <si>
    <t>Kecamatan menyusun laporan evaluasi TPS secara berkala (bulanan/triwulanan)</t>
  </si>
  <si>
    <t>C5b</t>
  </si>
  <si>
    <t>Laporan mencakup data kondisi fisik dan operasional tiap TPS</t>
  </si>
  <si>
    <t>C5c</t>
  </si>
  <si>
    <t>Laporan mencakup capaian program pengangkutan: volume, frekuensi, dan kendala</t>
  </si>
  <si>
    <t>C5d</t>
  </si>
  <si>
    <t>Laporan tersebut dapat diakses/diminta oleh publik atau warga yang berkepentingan</t>
  </si>
  <si>
    <t>C5e</t>
  </si>
  <si>
    <t>Laporan digunakan sebagai dasar tindak lanjut/perbaikan yang terdokumentasi</t>
  </si>
  <si>
    <t>C6</t>
  </si>
  <si>
    <t>Tersedia mekanisme pengaduan yang jelas bagi warga untuk melaporkan TPS meluap, armada tidak datang, atau gangguan lingkungan — serta ditindaklanjuti nyata</t>
  </si>
  <si>
    <t>C6a</t>
  </si>
  <si>
    <t>Kanal pengaduan resmi terkait TPS meluap/armada tidak datang tersedia dan diketahui warga</t>
  </si>
  <si>
    <t>C6b</t>
  </si>
  <si>
    <t>Prosedur pengaduan (cara melapor, ke siapa) diinformasikan secara terbuka</t>
  </si>
  <si>
    <t>C6c</t>
  </si>
  <si>
    <t>Pengaduan yang masuk dicatat dalam suatu sistem/buku register</t>
  </si>
  <si>
    <t>C6d</t>
  </si>
  <si>
    <t>Setiap pengaduan memiliki status tindak lanjut yang dapat dipantau</t>
  </si>
  <si>
    <t>C6e</t>
  </si>
  <si>
    <t>Terdapat bukti penyelesaian nyata, bukan sekadar tercatat, untuk pengaduan yang masuk</t>
  </si>
  <si>
    <t>C7</t>
  </si>
  <si>
    <t>Kecamatan menyampaikan LPJ layanan adminduk (SIBISA, jemput bola, loket) secara berkala kepada masyarakat</t>
  </si>
  <si>
    <t>C7a</t>
  </si>
  <si>
    <t>Kecamatan menyusun laporan pertanggungjawaban (LPJ) layanan adminduk secara berkala</t>
  </si>
  <si>
    <t>C7b</t>
  </si>
  <si>
    <t>LPJ mencakup capaian SIBISA, jemput bola, dan loket manual</t>
  </si>
  <si>
    <t>C7c</t>
  </si>
  <si>
    <t>LPJ disampaikan kepada atasan/instansi terkait sesuai jadwal yang ditetapkan</t>
  </si>
  <si>
    <t>C7d</t>
  </si>
  <si>
    <t>Ringkasan LPJ juga dikomunikasikan kepada masyarakat, tidak hanya internal</t>
  </si>
  <si>
    <t>C7e</t>
  </si>
  <si>
    <t>LPJ periode-periode sebelumnya terarsip dan dapat ditelusuri</t>
  </si>
  <si>
    <t>SKOR SUB-VARIABEL: Akuntabilitas</t>
  </si>
  <si>
    <t>SUB-VARIABEL: Partisipasi Publik — Kolaborasi Komunitas &amp; Keterlibatan Warga  [D2]</t>
  </si>
  <si>
    <t>C8</t>
  </si>
  <si>
    <t>Kecamatan aktif melibatkan komunitas (PKK, Karang Taruna, RT/RW, tokoh masyarakat) dalam pengawasan kebersihan TPS &amp; gotong royong</t>
  </si>
  <si>
    <t>C8a</t>
  </si>
  <si>
    <t>Kecamatan memiliki daftar komunitas mitra (PKK, Karang Taruna, RT/RW, tokoh masyarakat)</t>
  </si>
  <si>
    <t>C8b</t>
  </si>
  <si>
    <t>Komunitas tersebut dilibatkan/diundang dalam kegiatan gotong royong</t>
  </si>
  <si>
    <t>C8c</t>
  </si>
  <si>
    <t>Komunitas diberi peran dalam pengawasan kebersihan TPS, bukan hanya penonton</t>
  </si>
  <si>
    <t>C8d</t>
  </si>
  <si>
    <t>Keterlibatan tersebut terjadi secara rutin/berulang, bukan satu kali insidental</t>
  </si>
  <si>
    <t>C8e</t>
  </si>
  <si>
    <t>Tersedia dokumentasi keterlibatan komunitas (daftar hadir/laporan kegiatan bersama)</t>
  </si>
  <si>
    <t>C9</t>
  </si>
  <si>
    <t>Forum warga (musrenbang, rembug kelurahan) mengagendakan isu persampahan: kondisi TPS, rute pengangkutan, penambahan armada</t>
  </si>
  <si>
    <t>C9a</t>
  </si>
  <si>
    <t>Kecamatan/kelurahan menyelenggarakan forum musrenbang/rembug kelurahan secara rutin</t>
  </si>
  <si>
    <t>C9b</t>
  </si>
  <si>
    <t>Isu persampahan (kondisi TPS, rute, armada) masuk dalam agenda forum tersebut</t>
  </si>
  <si>
    <t>C9c</t>
  </si>
  <si>
    <t>Usulan warga terkait persampahan dari forum tercatat dalam risalah/notulen</t>
  </si>
  <si>
    <t>C9d</t>
  </si>
  <si>
    <t>Terdapat tindak lanjut nyata atas usulan warga terkait persampahan dari forum sebelumnya</t>
  </si>
  <si>
    <t>C9e</t>
  </si>
  <si>
    <t>Notulen/dokumentasi forum yang membahas isu persampahan terarsip dan dapat diverifikasi</t>
  </si>
  <si>
    <t>C10</t>
  </si>
  <si>
    <t>Warga dilibatkan dalam perencanaan &amp; evaluasi program adminduk di kecamatan (SIBISA, jadwal jemput bola, kemudahan akses dokumen)</t>
  </si>
  <si>
    <t>C10a</t>
  </si>
  <si>
    <t>Kecamatan pernah meminta masukan warga terkait pelaksanaan SIBISA/jemput bola</t>
  </si>
  <si>
    <t>C10b</t>
  </si>
  <si>
    <t>Masukan warga tersebut dikumpulkan melalui mekanisme yang jelas (survei/forum/kotak saran)</t>
  </si>
  <si>
    <t>C10c</t>
  </si>
  <si>
    <t>Masukan warga didokumentasikan dan dianalisis oleh kecamatan</t>
  </si>
  <si>
    <t>C10d</t>
  </si>
  <si>
    <t>Terdapat perubahan/perbaikan layanan adminduk yang merupakan hasil masukan warga</t>
  </si>
  <si>
    <t>C10e</t>
  </si>
  <si>
    <t>Warga mengetahui/menyadari bahwa masukan mereka ditindaklanjuti, dikonfirmasi via wawancara</t>
  </si>
  <si>
    <t>SKOR SUB-VARIABEL: Partisipasi Publik</t>
  </si>
  <si>
    <t>SUB-VARIABEL: Supremasi Hukum — Kepatuhan Regulasi &amp; SOP  [D2]</t>
  </si>
  <si>
    <t>C11</t>
  </si>
  <si>
    <t>Pengelolaan TPS/Bank Sampah mengacu pada Perda/Perwali kebersihan, SOP teknis yang ditetapkan, dan standar kesehatan lingkungan</t>
  </si>
  <si>
    <t>C11a</t>
  </si>
  <si>
    <t>Kecamatan/kelurahan mengetahui dan memiliki salinan Perda/Perwali kebersihan yang berlaku</t>
  </si>
  <si>
    <t>C11b</t>
  </si>
  <si>
    <t>SOP teknis pengelolaan TPS tersedia secara tertulis di tingkat kecamatan/kelurahan</t>
  </si>
  <si>
    <t>C11c</t>
  </si>
  <si>
    <t>Praktik pengelolaan TPS di lapangan sesuai dengan SOP yang ditetapkan, diverifikasi saat kunjungan</t>
  </si>
  <si>
    <t>C11d</t>
  </si>
  <si>
    <t>Tidak ditemukan pelanggaran standar kesehatan lingkungan yang signifikan di TPS</t>
  </si>
  <si>
    <t>C11e</t>
  </si>
  <si>
    <t>Tersedia bukti pembinaan/pengawasan kepatuhan terhadap Perda/Perwali yang terdokumentasi</t>
  </si>
  <si>
    <t>C12</t>
  </si>
  <si>
    <t>Penerbitan dokumen kependudukan melalui SIBISA maupun loket manual sepenuhnya mengikuti ketentuan Disdukcapil &amp; regulasi adminduk yang berlaku</t>
  </si>
  <si>
    <t>C12a</t>
  </si>
  <si>
    <t>Petugas mengetahui dan memiliki acuan ketentuan/regulasi Disdukcapil yang berlaku</t>
  </si>
  <si>
    <t>C12b</t>
  </si>
  <si>
    <t>Prosedur penerbitan dokumen di lapangan sesuai dengan ketentuan tersebut</t>
  </si>
  <si>
    <t>C12c</t>
  </si>
  <si>
    <t>Tidak ditemukan penyimpangan prosedur, seperti pungutan liar atau pemalsuan, dalam sampel dokumen yang diperiksa</t>
  </si>
  <si>
    <t>C12d</t>
  </si>
  <si>
    <t>Petugas mengikuti pembaruan regulasi/ketentuan terbaru dari Disdukcapil, ada bukti sosialisasi internal</t>
  </si>
  <si>
    <t>C12e</t>
  </si>
  <si>
    <t>Tersedia mekanisme pengawasan/audit kepatuhan regulasi yang terdokumentasi</t>
  </si>
  <si>
    <t>SKOR SUB-VARIABEL: Supremasi Hukum</t>
  </si>
  <si>
    <t>SKOR KUESIONER C (BLOK, 0-100)</t>
  </si>
  <si>
    <t>CEK_E — KUESIONER E — PROGRAM PKH MAKMUR (DIMENSI D6)</t>
  </si>
  <si>
    <t>SUB-VARIABEL: BAGIAN I — Aparatur: F1 Identifikasi &amp; Verifikasi Sasaran (Ps. 5 &amp; 6 Perwal 10/2026)  [D6]</t>
  </si>
  <si>
    <t>F1a</t>
  </si>
  <si>
    <t>Kecamatan aktif mendatakan calon penerima PKH Makmur (penyandang disabilitas &amp; lansia ≥60 th) yang belum terdaftar DTSEN melalui musyawarah kelurahan</t>
  </si>
  <si>
    <t>F1aa</t>
  </si>
  <si>
    <t>Kecamatan/kelurahan memiliki data awal warga disabilitas &amp; lansia berusia 60 tahun ke atas di wilayahnya</t>
  </si>
  <si>
    <t>F1ab</t>
  </si>
  <si>
    <t>Proses pendataan calon penerima yang belum terdaftar DTSEN telah dilakukan</t>
  </si>
  <si>
    <t>F1ac</t>
  </si>
  <si>
    <t>Musyawarah kelurahan diselenggarakan sebagai bagian dari proses pendataan tersebut</t>
  </si>
  <si>
    <t>F1ad</t>
  </si>
  <si>
    <t>Hasil pendataan mencakup seluruh kelurahan di kecamatan, tidak ada yang terlewat</t>
  </si>
  <si>
    <t>F1ae</t>
  </si>
  <si>
    <t>Tersedia dokumentasi (berita acara/daftar nama) hasil pendataan yang terarsip</t>
  </si>
  <si>
    <t>F1b</t>
  </si>
  <si>
    <t>Verifikasi status DTSEN desil 1-5 calon penerima dilakukan real-time melalui SIKS-NG sebelum musyawarah kelurahan digelar</t>
  </si>
  <si>
    <t>F1ba</t>
  </si>
  <si>
    <t>Aparatur memiliki akses ke sistem SIKS-NG</t>
  </si>
  <si>
    <t>F1bb</t>
  </si>
  <si>
    <t>Verifikasi status DTSEN dilakukan untuk calon penerima sebelum musyawarah kelurahan</t>
  </si>
  <si>
    <t>F1bc</t>
  </si>
  <si>
    <t>Verifikasi dilakukan secara real-time, langsung cek sistem, bukan berdasarkan data lama/cetakan usang</t>
  </si>
  <si>
    <t>F1bd</t>
  </si>
  <si>
    <t>Seluruh calon penerima yang diusulkan telah melalui proses verifikasi ini, tidak ada yang terlewat</t>
  </si>
  <si>
    <t>F1be</t>
  </si>
  <si>
    <t>Tersedia bukti cetak/log hasil verifikasi SIKS-NG untuk tiap calon penerima</t>
  </si>
  <si>
    <t>F1c</t>
  </si>
  <si>
    <t>Zero error ketepatan sasaran: tidak ada calon penerima yang sudah menerima PKH/BPNT/BSS tahun sebelumnya lolos verifikasi</t>
  </si>
  <si>
    <t>F1ca</t>
  </si>
  <si>
    <t>Kecamatan memiliki data penerima PKH/BPNT/BSS tahun sebelumnya sebagai pembanding</t>
  </si>
  <si>
    <t>F1cb</t>
  </si>
  <si>
    <t>Proses pencocokan (cross-check) data calon penerima dengan data penerima tahun sebelumnya dilakukan</t>
  </si>
  <si>
    <t>F1cc</t>
  </si>
  <si>
    <t>Tidak ditemukan nama ganda/duplikasi pada sampel data yang diperiksa</t>
  </si>
  <si>
    <t>F1cd</t>
  </si>
  <si>
    <t>Bila ditemukan potensi duplikasi, terdapat proses klarifikasi/koreksi sebelum penetapan final</t>
  </si>
  <si>
    <t>F1ce</t>
  </si>
  <si>
    <t>Tersedia dokumentasi hasil cross-check yang menunjukkan proses ini dilakukan secara sistematis</t>
  </si>
  <si>
    <t>SKOR SUB-VARIABEL: F1 Identifikasi Sasaran</t>
  </si>
  <si>
    <t>SUB-VARIABEL: BAGIAN I — Aparatur: F2 Kelengkapan Administrasi (Ps. 6 ayat 5 Perwal 10/2026)  [D6]</t>
  </si>
  <si>
    <t>F2a</t>
  </si>
  <si>
    <t>Berkas setiap calon penerima lengkap: KK, KTP, foto seluruh badan, foto rumah (geotag), surat domisili Lurah, surat pernyataan non-PKH/BPNT, print-out DTSEN</t>
  </si>
  <si>
    <t>F2aa</t>
  </si>
  <si>
    <t>Berkas KK dan KTP tersedia untuk setiap calon penerima pada sampel yang diperiksa</t>
  </si>
  <si>
    <t>F2ab</t>
  </si>
  <si>
    <t>Foto seluruh badan dan foto rumah dengan geotag tersedia dalam berkas</t>
  </si>
  <si>
    <t>F2ac</t>
  </si>
  <si>
    <t>Surat domisili dari Lurah tersedia dalam berkas</t>
  </si>
  <si>
    <t>F2ad</t>
  </si>
  <si>
    <t>Surat pernyataan non-PKH/BPNT/BSS dan print-out DTSEN tersedia dalam berkas</t>
  </si>
  <si>
    <t>F2ae</t>
  </si>
  <si>
    <t>Seluruh dokumen di atas lengkap secara simultan untuk lebih dari 90% berkas pada sampel yang diperiksa</t>
  </si>
  <si>
    <t>F2b</t>
  </si>
  <si>
    <t>Berita Acara Hasil Musyawarah Kelurahan ditandatangani seluruh unsur yang dipersyaratkan dan diserahkan bersama berkas ke Camat</t>
  </si>
  <si>
    <t>F2ba</t>
  </si>
  <si>
    <t>Berita Acara Hasil Musyawarah Kelurahan tersedia secara tertulis untuk sampel yang diperiksa</t>
  </si>
  <si>
    <t>F2bb</t>
  </si>
  <si>
    <t>Berita Acara ditandatangani oleh unsur kelurahan (Lurah/Kasi Kesos)</t>
  </si>
  <si>
    <t>F2bc</t>
  </si>
  <si>
    <t>Berita Acara juga ditandatangani oleh unsur masyarakat yang dipersyaratkan (tokoh masyarakat/RT-RW)</t>
  </si>
  <si>
    <t>F2bd</t>
  </si>
  <si>
    <t>Seluruh unsur yang dipersyaratkan telah menandatangani, tidak ada tanda tangan yang kosong/diwakilkan tanpa dasar</t>
  </si>
  <si>
    <t>F2be</t>
  </si>
  <si>
    <t>Berita Acara beserta berkas telah diserahkan dan tercatat diterima oleh Camat</t>
  </si>
  <si>
    <t>F2c</t>
  </si>
  <si>
    <t>Surat pengajuan Camat kepada Wali Kota c.q. Kepala Dinas Sosial disampaikan tepat waktu sesuai tahapan program</t>
  </si>
  <si>
    <t>F2ca</t>
  </si>
  <si>
    <t>Surat pengajuan dari Camat tersedia secara tertulis</t>
  </si>
  <si>
    <t>F2cb</t>
  </si>
  <si>
    <t>Surat tersebut ditujukan sesuai prosedur, kepada Wali Kota c.q. Kepala Dinas Sosial</t>
  </si>
  <si>
    <t>F2cc</t>
  </si>
  <si>
    <t>Tanggal pengiriman surat sesuai dengan tenggat tahapan program yang ditetapkan</t>
  </si>
  <si>
    <t>F2cd</t>
  </si>
  <si>
    <t>Terdapat bukti tanda terima/pengiriman resmi (ekspedisi/tanda terima dinas)</t>
  </si>
  <si>
    <t>F2ce</t>
  </si>
  <si>
    <t>Tidak ditemukan keterlambatan pengajuan pada sampel periode yang diperiksa</t>
  </si>
  <si>
    <t>SKOR SUB-VARIABEL: F2 Kelengkapan Admin</t>
  </si>
  <si>
    <t>SUB-VARIABEL: BAGIAN I — Aparatur: F3 Musyawarah Kelurahan (Ps. 6 ayat 4 Perwal 10/2026)  [D6]</t>
  </si>
  <si>
    <t>F3a</t>
  </si>
  <si>
    <t>Musyawarah kelurahan penetapan penerima diselenggarakan secara partisipatif (tokoh masyarakat, PKK, Karang Taruna, RT/RW hadir)</t>
  </si>
  <si>
    <t>F3aa</t>
  </si>
  <si>
    <t>Musyawarah kelurahan benar-benar diselenggarakan, bukan hanya dokumen formalitas</t>
  </si>
  <si>
    <t>F3ab</t>
  </si>
  <si>
    <t>Daftar hadir musyawarah menunjukkan kehadiran unsur RT/RW</t>
  </si>
  <si>
    <t>F3ac</t>
  </si>
  <si>
    <t>Daftar hadir juga menunjukkan kehadiran tokoh masyarakat dan/atau PKK/Karang Taruna</t>
  </si>
  <si>
    <t>F3ad</t>
  </si>
  <si>
    <t>Seluruh unsur yang dipersyaratkan hadir secara bersamaan, bukan sebagian besar tidak hadir</t>
  </si>
  <si>
    <t>F3ae</t>
  </si>
  <si>
    <t>Notulen musyawarah mencatat substansi pembahasan penetapan penerima, bukan sekadar formalitas</t>
  </si>
  <si>
    <t>F3b</t>
  </si>
  <si>
    <t>Hasil daftar penerima diumumkan secara transparan kepada warga sebelum diteruskan ke Camat</t>
  </si>
  <si>
    <t>F3ba</t>
  </si>
  <si>
    <t>Daftar penerima yang ditetapkan dalam musyawarah tersedia secara tertulis</t>
  </si>
  <si>
    <t>F3bb</t>
  </si>
  <si>
    <t>Daftar tersebut diumumkan kepada warga melalui papan pengumuman/pertemuan warga</t>
  </si>
  <si>
    <t>F3bc</t>
  </si>
  <si>
    <t>Pengumuman dilakukan sebelum berkas diteruskan ke Camat, bukan setelah</t>
  </si>
  <si>
    <t>F3bd</t>
  </si>
  <si>
    <t>Warga memiliki kesempatan untuk melihat/mengetahui daftar tersebut secara terbuka</t>
  </si>
  <si>
    <t>F3be</t>
  </si>
  <si>
    <t>Tersedia bukti pengumuman (foto/berita acara pengumuman) yang terdokumentasi</t>
  </si>
  <si>
    <t>F3c</t>
  </si>
  <si>
    <t>Keluhan/keberatan warga atas penetapan penerima ditangani melalui mekanisme yang jelas dan dapat dipertanggungjawabkan</t>
  </si>
  <si>
    <t>F3ca</t>
  </si>
  <si>
    <t>Tersedia mekanisme/kanal bagi warga untuk mengajukan keberatan atas penetapan penerima</t>
  </si>
  <si>
    <t>F3cb</t>
  </si>
  <si>
    <t>Warga mengetahui keberadaan mekanisme tersebut, dikonfirmasi via wawancara</t>
  </si>
  <si>
    <t>F3cc</t>
  </si>
  <si>
    <t>Keberatan yang masuk dicatat secara resmi</t>
  </si>
  <si>
    <t>F3cd</t>
  </si>
  <si>
    <t>Setiap keberatan ditindaklanjuti dengan klarifikasi/keputusan yang disampaikan kembali ke pengadu</t>
  </si>
  <si>
    <t>F3ce</t>
  </si>
  <si>
    <t>Tersedia rekap keberatan &amp; penyelesaiannya yang dapat ditelusuri</t>
  </si>
  <si>
    <t>SKOR SUB-VARIABEL: F3 Musyawarah Kelurahan</t>
  </si>
  <si>
    <t>SUB-VARIABEL: BAGIAN I — Aparatur: F4 Kualitas Pendampingan Penerima  [D6]</t>
  </si>
  <si>
    <t>F4a</t>
  </si>
  <si>
    <t>Petugas kelurahan/kecamatan melakukan kunjungan rutin kepada penerima DISABILITAS untuk memastikan manfaat bantuan digunakan sesuai kebutuhan</t>
  </si>
  <si>
    <t>F4aa</t>
  </si>
  <si>
    <t>Kecamatan/kelurahan memiliki jadwal kunjungan rutin untuk penerima disabilitas</t>
  </si>
  <si>
    <t>F4ab</t>
  </si>
  <si>
    <t>Kunjungan benar-benar dilaksanakan pada sampel penerima yang diperiksa dalam 3 bulan terakhir</t>
  </si>
  <si>
    <t>F4ac</t>
  </si>
  <si>
    <t>Petugas mencatat hasil kunjungan: kondisi penerima dan pemanfaatan bantuan</t>
  </si>
  <si>
    <t>F4ad</t>
  </si>
  <si>
    <t>Frekuensi kunjungan konsisten dengan jadwal yang ditetapkan, tidak hanya sekali di awal program</t>
  </si>
  <si>
    <t>F4ae</t>
  </si>
  <si>
    <t>Penerima yang diwawancarai mengonfirmasi pernah dikunjungi petugas</t>
  </si>
  <si>
    <t>F4b</t>
  </si>
  <si>
    <t>Petugas kelurahan/kecamatan melakukan kunjungan rutin kepada penerima LANJUT USIA untuk memantau kondisi kesehatan &amp; kesejahteraan</t>
  </si>
  <si>
    <t>F4ba</t>
  </si>
  <si>
    <t>Kecamatan/kelurahan memiliki jadwal kunjungan rutin untuk penerima lanjut usia</t>
  </si>
  <si>
    <t>F4bb</t>
  </si>
  <si>
    <t>F4bc</t>
  </si>
  <si>
    <t>Petugas mencatat kondisi kesehatan &amp; kesejahteraan penerima pada setiap kunjungan</t>
  </si>
  <si>
    <t>F4bd</t>
  </si>
  <si>
    <t>Frekuensi kunjungan konsisten dengan jadwal yang ditetapkan</t>
  </si>
  <si>
    <t>F4be</t>
  </si>
  <si>
    <t>F4c</t>
  </si>
  <si>
    <t>Penerima merasa pendampingan aparatur membantu mereka mengakses layanan sosial lain (kesehatan, adminduk)</t>
  </si>
  <si>
    <t>F4ca</t>
  </si>
  <si>
    <t>Petugas pernah memberikan informasi tentang layanan sosial lain (kesehatan/adminduk) kepada penerima</t>
  </si>
  <si>
    <t>F4cb</t>
  </si>
  <si>
    <t>Petugas pernah membantu proses rujukan/pengurusan layanan sosial lain untuk penerima</t>
  </si>
  <si>
    <t>F4cc</t>
  </si>
  <si>
    <t>Penerima yang diwawancarai menyatakan mengetahui bantuan tersebut ditawarkan</t>
  </si>
  <si>
    <t>F4cd</t>
  </si>
  <si>
    <t>Penerima yang diwawancarai menyatakan benar-benar terbantu mengakses layanan lain</t>
  </si>
  <si>
    <t>F4ce</t>
  </si>
  <si>
    <t>Terdapat catatan/laporan kasus rujukan yang berhasil ditindaklanjuti hingga tuntas</t>
  </si>
  <si>
    <t>F4d</t>
  </si>
  <si>
    <t>Kecamatan berkoordinasi aktif dengan Dinas Sosial dalam pemantauan kondisi &amp; pelaporan perubahan status penerima</t>
  </si>
  <si>
    <t>F4da</t>
  </si>
  <si>
    <t>Kecamatan memiliki kontak/jalur koordinasi resmi dengan Dinas Sosial</t>
  </si>
  <si>
    <t>F4db</t>
  </si>
  <si>
    <t>Kecamatan melaporkan perubahan status penerima, seperti meninggal, pindah, atau tidak layak, kepada Dinas Sosial</t>
  </si>
  <si>
    <t>F4dc</t>
  </si>
  <si>
    <t>Pelaporan dilakukan secara berkala, bukan hanya saat ditanya/diminta</t>
  </si>
  <si>
    <t>F4dd</t>
  </si>
  <si>
    <t>Terdapat bukti komunikasi/laporan tertulis dengan Dinas Sosial dalam 3 bulan terakhir</t>
  </si>
  <si>
    <t>F4de</t>
  </si>
  <si>
    <t>Dinas Sosial mengonfirmasi menerima laporan tersebut secara rutin, jika dapat diverifikasi silang</t>
  </si>
  <si>
    <t>SKOR SUB-VARIABEL: F4 Pendampingan</t>
  </si>
  <si>
    <t>SUB-VARIABEL: BAGIAN I — Aparatur: F5 Pemanfaatan SIKS-NG Digital (Real-time)  [D6]</t>
  </si>
  <si>
    <t>F5a</t>
  </si>
  <si>
    <t>Aparatur mampu mengoperasikan SIKS-NG secara MANDIRI untuk cek status DTSEN calon penerima secara real-time tanpa bantuan eksternal</t>
  </si>
  <si>
    <t>F5aa</t>
  </si>
  <si>
    <t>Aparatur yang ditugaskan memiliki akun aktif SIKS-NG</t>
  </si>
  <si>
    <t>F5ab</t>
  </si>
  <si>
    <t>Aparatur dapat login dan mengakses data tanpa bantuan pihak luar</t>
  </si>
  <si>
    <t>F5ac</t>
  </si>
  <si>
    <t>Aparatur dapat mendemonstrasikan pencarian status DTSEN calon penerima saat diminta</t>
  </si>
  <si>
    <t>F5ad</t>
  </si>
  <si>
    <t>Operasional SIKS-NG dilakukan sendiri secara rutin, bukan didelegasikan ke pihak ketiga/konsultan</t>
  </si>
  <si>
    <t>F5ae</t>
  </si>
  <si>
    <t>Aparatur pernah mengikuti pelatihan SIKS-NG dan memiliki bukti kompetensi (sertifikat/catatan pelatihan)</t>
  </si>
  <si>
    <t>F5b</t>
  </si>
  <si>
    <t>Data usulan penerima PKH Makmur seluruh kelurahan terinput digital &amp; dapat diakses Dinas Sosial tanpa hambatan teknis</t>
  </si>
  <si>
    <t>F5ba</t>
  </si>
  <si>
    <t>Data usulan penerima dari kelurahan telah diinput ke dalam sistem digital</t>
  </si>
  <si>
    <t>F5bb</t>
  </si>
  <si>
    <t>Input data mencakup seluruh kelurahan di kecamatan, tidak ada yang tertinggal atau manual saja</t>
  </si>
  <si>
    <t>F5bc</t>
  </si>
  <si>
    <t>Data tersebut dapat diakses oleh Dinas Sosial melalui sistem tanpa kendala teknis</t>
  </si>
  <si>
    <t>F5bd</t>
  </si>
  <si>
    <t>Proses input dilakukan tepat waktu sesuai tahapan program, tidak menumpuk di akhir</t>
  </si>
  <si>
    <t>F5be</t>
  </si>
  <si>
    <t>Tersedia bukti konfirmasi/tanda terima digital dari Dinas Sosial atas data yang diinput</t>
  </si>
  <si>
    <t>SKOR SUB-VARIABEL: F5 SIKS-NG</t>
  </si>
  <si>
    <t>SUB-VARIABEL: BAGIAN II — Penerima Manfaat PKH Makmur (Pengalaman Penerima)  [D6]</t>
  </si>
  <si>
    <t>P1</t>
  </si>
  <si>
    <t>Petugas kelurahan/kecamatan menjelaskan dengan baik cara mendapatkan dan syarat-syarat PKH Makmur kepada saya</t>
  </si>
  <si>
    <t>P1a</t>
  </si>
  <si>
    <t>Penerima pernah menerima penjelasan langsung dari petugas tentang program PKH Makmur</t>
  </si>
  <si>
    <t>P1b</t>
  </si>
  <si>
    <t>Penjelasan mencakup cara/prosedur untuk mendapatkan bantuan</t>
  </si>
  <si>
    <t>P1c</t>
  </si>
  <si>
    <t>Penjelasan mencakup syarat-syarat yang harus dipenuhi</t>
  </si>
  <si>
    <t>P1d</t>
  </si>
  <si>
    <t>Penerima menyatakan penjelasan tersebut mudah dipahami, bukan membingungkan</t>
  </si>
  <si>
    <t>P1e</t>
  </si>
  <si>
    <t>Penerima tidak perlu mencari informasi tambahan dari sumber lain karena penjelasan petugas sudah cukup jelas</t>
  </si>
  <si>
    <t>P2</t>
  </si>
  <si>
    <t>Proses pendaftaran dan verifikasi data saya berjalan mudah, transparan, dan tidak mempersulit</t>
  </si>
  <si>
    <t>P2a</t>
  </si>
  <si>
    <t>Penerima mengetahui proses pendaftaran yang harus dilalui</t>
  </si>
  <si>
    <t>P2b</t>
  </si>
  <si>
    <t>Penerima tidak diminta dokumen/persyaratan di luar ketentuan yang berlaku</t>
  </si>
  <si>
    <t>P2c</t>
  </si>
  <si>
    <t>Proses verifikasi data berjalan tanpa meminta penerima bolak-balik berulang kali secara tidak wajar</t>
  </si>
  <si>
    <t>P2d</t>
  </si>
  <si>
    <t>Penerima tidak dikenakan biaya/pungutan apa pun dalam proses pendaftaran-verifikasi</t>
  </si>
  <si>
    <t>P2e</t>
  </si>
  <si>
    <t>Penerima menyatakan puas dengan kemudahan &amp; transparansi keseluruhan proses</t>
  </si>
  <si>
    <t>P3</t>
  </si>
  <si>
    <t>Saya merasa diperlakukan dengan hormat dan adil oleh petugas selama proses musyawarah dan verifikasi</t>
  </si>
  <si>
    <t>P3a</t>
  </si>
  <si>
    <t>Penerima diperlakukan dengan sopan oleh petugas selama proses berlangsung</t>
  </si>
  <si>
    <t>P3b</t>
  </si>
  <si>
    <t>Penerima merasa didengar pendapatnya selama proses musyawarah</t>
  </si>
  <si>
    <t>P3c</t>
  </si>
  <si>
    <t>Penerima tidak merasa dibeda-bedakan dibanding calon penerima lain</t>
  </si>
  <si>
    <t>P3d</t>
  </si>
  <si>
    <t>Penerima tidak mengalami tekanan/intimidasi selama proses verifikasi</t>
  </si>
  <si>
    <t>P3e</t>
  </si>
  <si>
    <t>Penerima menyatakan secara keseluruhan diperlakukan adil dari awal hingga akhir proses</t>
  </si>
  <si>
    <t>P4</t>
  </si>
  <si>
    <t>Petugas rutin mengunjungi atau menghubungi saya untuk memastikan kondisi saya dan pemanfaatan bantuan</t>
  </si>
  <si>
    <t>P4a</t>
  </si>
  <si>
    <t>Penerima pernah dikunjungi atau dihubungi petugas setelah menerima bantuan</t>
  </si>
  <si>
    <t>P4b</t>
  </si>
  <si>
    <t>Kunjungan/kontak tersebut terjadi lebih dari satu kali, bukan hanya sekali di awal</t>
  </si>
  <si>
    <t>P4c</t>
  </si>
  <si>
    <t>Petugas menanyakan kondisi terkini penerima saat kunjungan/kontak</t>
  </si>
  <si>
    <t>P4d</t>
  </si>
  <si>
    <t>Petugas menanyakan/memantau bagaimana bantuan dimanfaatkan</t>
  </si>
  <si>
    <t>P4e</t>
  </si>
  <si>
    <t>Penerima menyatakan frekuensi kunjungan/kontak tersebut memadai sesuai kebutuhan mereka</t>
  </si>
  <si>
    <t>P5</t>
  </si>
  <si>
    <t>Secara keseluruhan, saya puas dengan cara kecamatan/kelurahan melaksanakan program PKH Makmur</t>
  </si>
  <si>
    <t>P5a</t>
  </si>
  <si>
    <t>Penerima menyatakan proses pendaftaran hingga penetapan berjalan baik</t>
  </si>
  <si>
    <t>P5b</t>
  </si>
  <si>
    <t>Penerima menyatakan bantuan yang diterima sesuai dengan yang dijanjikan</t>
  </si>
  <si>
    <t>SKOR DIMENSI D1-D7 PER KECAMATAN (agregasi otomatis dari Cek_A..Cek_F)</t>
  </si>
  <si>
    <t>Nama Dimensi</t>
  </si>
  <si>
    <t>D1 - Kepuasan Masyarakat (Servqual, Kuesioner A)</t>
  </si>
  <si>
    <t>D2 - Tata Kelola &amp; Good Governance (Kuesioner C)</t>
  </si>
  <si>
    <t>D3 - Proses Bisnis Internal Aparatur (Kuesioner B)</t>
  </si>
  <si>
    <t>D4 - Kematangan Digital / SPBE (Kuesioner D + B-SDM)</t>
  </si>
  <si>
    <t>D5 - Anggaran &amp; Efisiensi Keuangan (Kuesioner B)</t>
  </si>
  <si>
    <t>D6 - Modul Tematik PKH Makmur (Kuesioner E)</t>
  </si>
  <si>
    <t>D7 - Modul Tematik Ketertiban Umum (Kuesioner F)</t>
  </si>
  <si>
    <t>PANDUAN PENGGUNAAN DASHBOARD QPI CHECKLIST GUTTMAN 2026</t>
  </si>
  <si>
    <t>1. Struktur File</t>
  </si>
  <si>
    <t>Sheet Cek_A s.d. Cek_F  : tempat pengisian data lapangan. Tiap sheet mewakili satu kuesioner (A-F). Baris = 103 indikator induk beserta 5 sub-item Guttman turunannya; kolom = 21 kecamatan Kota Medan. Kolom putih pada baris sub-item (a-e) adalah satu-satunya sel yang perlu diisi manual (dropdown Ya/Tidak).</t>
  </si>
  <si>
    <t>Sheet Skor_Dimensi   : menghitung otomatis skor D1-D7 per kecamatan (kolom) dari hasil Cek_A..Cek_F.</t>
  </si>
  <si>
    <t>Sheet QPI_Inti       : menghitung otomatis QPI Inti, kategori, dan status floor per kecamatan (kolom).</t>
  </si>
  <si>
    <t>Sheet Master_Item / Master_SubVar : rekap seluruh 103 item dan 28 sub-variabel x skor per kecamatan, dipakai Dashboard untuk mencari sub-item/sub-variabel yang paling lemah se-kota.</t>
  </si>
  <si>
    <t>Sheet Dashboard      : ringkasan visual — KPI kota, peringkat 21 kecamatan, 10 sub-item &amp; 5 sub-variabel yang paling perlu dibenahi.</t>
  </si>
  <si>
    <t>Sheet Parameter      : bobot dimensi inti, ambang kategori, ambang floor, daftar kecamatan — semua dapat diedit.</t>
  </si>
  <si>
    <t>2. Cara Mengisi Data</t>
  </si>
  <si>
    <t>Buka sheet Cek_A. Untuk setiap indikator (baris berwarna biru muda, mis. A1) terdapat 5 baris sub-item di bawahnya (A1a-A1e). Pada tiap baris sub-item, pilih 'Ya' atau 'Tidak' dari dropdown pada kolom kecamatan yang sesuai. Ulangi untuk sheet Cek_B s.d. Cek_F. Baris 'Skor' indikator (biru muda) dan baris 'SKOR SUB-VARIABEL' (kuning emas) akan otomatis terisi begitu 5 sub-item lengkap diisi.</t>
  </si>
  <si>
    <t>3. Cara Membaca Hasil</t>
  </si>
  <si>
    <t>Begitu data di Cek_A..Cek_F terisi, buka sheet Dashboard. Kartu KPI di bagian atas menunjukkan ringkasan kota. Tabel peringkat menunjukkan QPI Inti dan D1-D7 tiap kecamatan dengan warna merah (rendah) - kuning - hijau (tinggi). Dua tabel di bawahnya menunjukkan 10 sub-item checklist dan 5 sub-variabel dengan skor rata-rata kota terendah — inilah yang paling perlu dibenahi lebih dulu.</t>
  </si>
  <si>
    <t>4. Rumus Perhitungan (ringkas)</t>
  </si>
  <si>
    <t>Skor item = (jumlah jawaban 'Ya' dari 5 sub-item) / 5 x 100.</t>
  </si>
  <si>
    <t>Skor sub-variabel = rata-rata tertimbang skor item anggotanya, bobot mengikuti Bobot asli pada Instrumen QPI.</t>
  </si>
  <si>
    <t>Skor kuesioner (blok) = rata-rata tertimbang seluruh item dalam kuesioner tsb (bobot asli, total 100%).</t>
  </si>
  <si>
    <t>Skor dimensi D1-D7 = pemetaan blok/subvar kuesioner ke D1-D7 (lihat sheet Parameter, bagian Catatan Pemetaan Dimensi).</t>
  </si>
  <si>
    <t>QPI Inti = D1 x w1 + D2 x w2 + D3 x w3 + D4 x w4 + D5 x w5, bobot w1..w5 di sheet Parameter (default sesuai renormalisasi resmi laporan QPI-K 2.0: 0.2619 / 0.1429 / 0.2619 / 0.2619 / 0.0714).</t>
  </si>
  <si>
    <t>D6 (Modul PKH Makmur) dan D7 (Modul Ketertiban Umum) ditampilkan terpisah, tidak masuk QPI Inti — konsisten dengan struktur laporan akhir QPI-K 2.0 yang memperlakukan keduanya sebagai modul tematik.</t>
  </si>
  <si>
    <t>Kategori &amp; Floor: lihat rumus lengkap dan pembuktian ekuivalensi metode di file terpisah 'Rumus_Perhitungan_QPI_Checklist_Guttman_2026.docx'.</t>
  </si>
  <si>
    <t>5. Catatan Metodologis Penting — Pemetaan Kuesioner B ke D3/D4/D5</t>
  </si>
  <si>
    <t>Kuesioner B (Kinerja Internal Aparatur / BSC) memiliki 4 sub-variabel: Proses Persampahan, Proses Adminduk, SDM &amp; Literasi Digital, dan Anggaran &amp; Efisiensi. Dalam dashboard ini, dua subvar proses (B1-B10) dipetakan penuh ke D3 (Proses Bisnis Internal); subvar SDM &amp; Literasi Digital (B11-B13) digabung dengan seluruh Kuesioner D (Kematangan Digital) untuk membentuk D4, dengan bobot masing-masing mengikuti bobot asli pada instrumen (B11-B13 total 20%, Kuesioner D total 100%, dinormalisasi ulang); dan subvar Anggaran (B14-B15) dipetakan penuh ke D5. Pemetaan ini adalah adaptasi checklist berbasis Tabel 4.3 pada laporan akhir QPI-K 2.0 dan dapat disesuaikan bila tim QPI memiliki pembobotan resmi yang berbeda — edit langsung formula pada sheet Skor_Dimensi (baris D3, D4, D5) bila diperlukan.</t>
  </si>
  <si>
    <t>6. File Terkait</t>
  </si>
  <si>
    <t>'Turunan_Item_Guttman_QPI_2026.docx'          — daftar lengkap 515 pernyataan checklist (5 per indikator).</t>
  </si>
  <si>
    <t>'Rumus_Perhitungan_QPI_Checklist_Guttman_2026.docx' — penjelasan rinci &amp; pembuktian matematis rumus perhitungan.</t>
  </si>
  <si>
    <t>File dashboard ini (.xlsx)                    — implementasi rumus tsb dalam satu workbook yang saling terhubung.</t>
  </si>
  <si>
    <t>CEK_F — KUESIONER F — KETERTIBAN UMUM (DIMENSI D7)</t>
  </si>
  <si>
    <t>SUB-VARIABEL: BAGIAN I — Aparatur: G1 Kepatuhan Warga (Ps. 5-6 Perda No.10/2021)  [D7]</t>
  </si>
  <si>
    <t>G1a</t>
  </si>
  <si>
    <t>Kepatuhan warga terhadap tertib jalan: pejalan kaki di trotoar, menyeberang di zebra cross, tidak berjualan di Rumija (Ps.8-9)</t>
  </si>
  <si>
    <t>G1aa</t>
  </si>
  <si>
    <t>Pejalan kaki terlihat menggunakan trotoar yang tersedia, bukan berjalan di badan jalan</t>
  </si>
  <si>
    <t>G1ab</t>
  </si>
  <si>
    <t>Warga menyeberang menggunakan zebra cross/tempat penyeberangan yang tersedia</t>
  </si>
  <si>
    <t>G1ac</t>
  </si>
  <si>
    <t>Tidak ditemukan pedagang berjualan di ruang milik jalan (Rumija) pada titik pantau</t>
  </si>
  <si>
    <t>G1ad</t>
  </si>
  <si>
    <t>Kondisi tertib jalan ini konsisten diamati di lebih dari satu titik/waktu pantau</t>
  </si>
  <si>
    <t>G1ae</t>
  </si>
  <si>
    <t>Kecamatan memiliki data/laporan pemantauan kepatuhan tertib jalan secara berkala</t>
  </si>
  <si>
    <t>G1b</t>
  </si>
  <si>
    <t>Kepatuhan warga terhadap tertib jalur hijau &amp; taman: tidak merusak, tidak buang sampah, tidak berdagang di jalur hijau (Ps.13)</t>
  </si>
  <si>
    <t>G1ba</t>
  </si>
  <si>
    <t>Jalur hijau/taman yang dipantau tidak menunjukkan tanda kerusakan oleh aktivitas warga</t>
  </si>
  <si>
    <t>G1bb</t>
  </si>
  <si>
    <t>Tidak ditemukan sampah yang dibuang sembarangan di jalur hijau/taman</t>
  </si>
  <si>
    <t>G1bc</t>
  </si>
  <si>
    <t>Tidak ditemukan aktivitas berdagang di area jalur hijau/taman</t>
  </si>
  <si>
    <t>G1bd</t>
  </si>
  <si>
    <t>Kondisi ini konsisten pada lebih dari satu lokasi jalur hijau/taman yang dipantau</t>
  </si>
  <si>
    <t>G1be</t>
  </si>
  <si>
    <t>Kecamatan memiliki laporan pemantauan/patroli jalur hijau yang terdokumentasi</t>
  </si>
  <si>
    <t>G1c</t>
  </si>
  <si>
    <t>Kepatuhan tertib sosial: tidak ada pengemis mengganggu di jalan umum, tidak ada anak jalanan meresahkan (Ps.1 ayat 17-18)</t>
  </si>
  <si>
    <t>G1ca</t>
  </si>
  <si>
    <t>Tidak ditemukan pengemis yang mengganggu ketertiban di titik pantau saat kunjungan</t>
  </si>
  <si>
    <t>G1cb</t>
  </si>
  <si>
    <t>Tidak ditemukan anak jalanan yang meresahkan di titik pantau saat kunjungan</t>
  </si>
  <si>
    <t>G1cc</t>
  </si>
  <si>
    <t>Kecamatan memiliki data pemantauan terkait keberadaan pengemis/anak jalanan di wilayahnya</t>
  </si>
  <si>
    <t>G1cd</t>
  </si>
  <si>
    <t>Kondisi tertib ini konsisten pada lebih dari satu titik/waktu pemantauan</t>
  </si>
  <si>
    <t>G1ce</t>
  </si>
  <si>
    <t>Kecamatan memiliki laporan koordinasi penanganan isu ini dengan instansi terkait (Dinsos/Satpol PP)</t>
  </si>
  <si>
    <t>G1d</t>
  </si>
  <si>
    <t>Warga secara aktif menjaga kebersihan lingkungan: tidak membuang sampah di jalan/selokan (Ps.6 &amp; Ps.12j)</t>
  </si>
  <si>
    <t>G1da</t>
  </si>
  <si>
    <t>Selokan/saluran air di titik pantau terlihat relatif bersih dari sampah</t>
  </si>
  <si>
    <t>G1db</t>
  </si>
  <si>
    <t>Tidak ditemukan tumpukan sampah baru di badan jalan pada titik pantau</t>
  </si>
  <si>
    <t>G1dc</t>
  </si>
  <si>
    <t>Terdapat indikasi kesadaran warga menjaga kebersihan, tidak ada praktik buang sampah yang teramati langsung</t>
  </si>
  <si>
    <t>G1dd</t>
  </si>
  <si>
    <t>Kondisi ini konsisten di lebih dari satu titik pemantauan dalam kecamatan</t>
  </si>
  <si>
    <t>G1de</t>
  </si>
  <si>
    <t>Kecamatan memiliki program/laporan edukasi kebersihan lingkungan yang mendukung kondisi ini</t>
  </si>
  <si>
    <t>SKOR SUB-VARIABEL: G1 Kepatuhan Warga</t>
  </si>
  <si>
    <t>SUB-VARIABEL: BAGIAN I — Aparatur: G2 Operasi Penertiban Satpol PP (Ps. 7 Perda No.10/2021)  [D7]</t>
  </si>
  <si>
    <t>G2a</t>
  </si>
  <si>
    <t>Frekuensi operasi penertiban PKL liar oleh Satpol PP di zona prioritas kecamatan (target min. 1x/bulan)</t>
  </si>
  <si>
    <t>G2aa</t>
  </si>
  <si>
    <t>Zona prioritas penertiban PKL liar telah ditetapkan kecamatan</t>
  </si>
  <si>
    <t>G2ab</t>
  </si>
  <si>
    <t>Operasi penertiban PKL liar tercatat dilaksanakan minimal 1 kali pada bulan terakhir</t>
  </si>
  <si>
    <t>G2ac</t>
  </si>
  <si>
    <t>Frekuensi tersebut konsisten selama 3 bulan terakhir</t>
  </si>
  <si>
    <t>G2ad</t>
  </si>
  <si>
    <t>Operasi melibatkan koordinasi dengan Satpol PP wilayah, bukan hanya rencana kecamatan sendiri</t>
  </si>
  <si>
    <t>G2ae</t>
  </si>
  <si>
    <t>Tersedia laporan operasi penertiban (waktu, lokasi, hasil) yang terdokumentasi untuk setiap pelaksanaan</t>
  </si>
  <si>
    <t>G2b</t>
  </si>
  <si>
    <t>Efektivitas penertiban bangunan liar &amp; vandalisme di fasilitas umum/jalur hijau (ada bukti nyata penindakan/relokasi)</t>
  </si>
  <si>
    <t>G2ba</t>
  </si>
  <si>
    <t>Kecamatan/Satpol PP memiliki data bangunan liar/titik vandalisme yang teridentifikasi</t>
  </si>
  <si>
    <t>G2bb</t>
  </si>
  <si>
    <t>Tindakan penertiban/penindakan dilakukan terhadap temuan tersebut</t>
  </si>
  <si>
    <t>G2bc</t>
  </si>
  <si>
    <t>Terdapat bukti nyata hasil penindakan, seperti foto sebelum-sesudah atau relokasi/pembongkaran</t>
  </si>
  <si>
    <t>G2bd</t>
  </si>
  <si>
    <t>Lokasi yang telah ditertibkan tidak kembali muncul pelanggaran serupa dalam pemantauan berikutnya</t>
  </si>
  <si>
    <t>G2be</t>
  </si>
  <si>
    <t>Tersedia laporan penertiban yang terdokumentasi lengkap dengan tindak lanjutnya</t>
  </si>
  <si>
    <t>G2c</t>
  </si>
  <si>
    <t>Penanganan pelanggaran tertib sosial (pengemis, anak jalanan, miras ilegal) — kecamatan berkoordinasi aktif dengan Dinsos &amp; Satpol PP</t>
  </si>
  <si>
    <t>G2ca</t>
  </si>
  <si>
    <t>Kecamatan memiliki jalur koordinasi resmi dengan Dinas Sosial dan Satpol PP terkait tertib sosial</t>
  </si>
  <si>
    <t>G2cb</t>
  </si>
  <si>
    <t>Kasus pelanggaran tertib sosial (pengemis, anak jalanan, miras ilegal) yang ditemukan dilaporkan ke instansi terkait</t>
  </si>
  <si>
    <t>G2cc</t>
  </si>
  <si>
    <t>Terdapat tindak lanjut nyata dari laporan tersebut, seperti razia bersama atau rujukan penanganan</t>
  </si>
  <si>
    <t>G2cd</t>
  </si>
  <si>
    <t>Koordinasi ini berjalan rutin, bukan hanya saat terjadi kasus besar/insidental</t>
  </si>
  <si>
    <t>G2ce</t>
  </si>
  <si>
    <t>Tersedia laporan/catatan koordinasi dan hasil penanganan yang terdokumentasi</t>
  </si>
  <si>
    <t>G2d</t>
  </si>
  <si>
    <t>Tindak lanjut pengaduan warga terkait pelanggaran ketertiban diselesaikan dalam ≤3 hari kerja</t>
  </si>
  <si>
    <t>G2da</t>
  </si>
  <si>
    <t>Tersedia kanal pengaduan ketertiban yang dapat diakses warga</t>
  </si>
  <si>
    <t>G2db</t>
  </si>
  <si>
    <t>Pengaduan yang masuk dicatat dengan tanggal/waktu penerimaan</t>
  </si>
  <si>
    <t>G2dc</t>
  </si>
  <si>
    <t>Tindak lanjut atas pengaduan dilakukan dalam paling lambat 3 hari kerja pada sampel yang diperiksa</t>
  </si>
  <si>
    <t>G2dd</t>
  </si>
  <si>
    <t>Sebagian besar, lebih dari 70%, pengaduan pada sampel terselesaikan dalam tenggat tersebut</t>
  </si>
  <si>
    <t>G2de</t>
  </si>
  <si>
    <t>Tersedia rekap pengaduan &amp; waktu penyelesaian yang dapat diverifikasi</t>
  </si>
  <si>
    <t>SKOR SUB-VARIABEL: G2 Operasi Penertiban</t>
  </si>
  <si>
    <t>SUB-VARIABEL: BAGIAN I — Aparatur: G3 Kondisi Ruang Publik (Ps. 7a-c &amp; 13 Perda No.10/2021)  [D7]</t>
  </si>
  <si>
    <t>G3a</t>
  </si>
  <si>
    <t>Jalan &amp; trotoar di wilayah kecamatan bebas dari hambatan PKL liar, parkir liar, dan material konstruksi (Ps.9)</t>
  </si>
  <si>
    <t>G3aa</t>
  </si>
  <si>
    <t>Trotoar pada titik pantau dapat dilalui pejalan kaki tanpa hambatan berarti</t>
  </si>
  <si>
    <t>G3ab</t>
  </si>
  <si>
    <t>Tidak ditemukan PKL liar yang menghalangi jalan/trotoar di titik pantau</t>
  </si>
  <si>
    <t>G3ac</t>
  </si>
  <si>
    <t>Tidak ditemukan kendaraan parkir liar yang mengganggu arus jalan di titik pantau</t>
  </si>
  <si>
    <t>G3ad</t>
  </si>
  <si>
    <t>Tidak ditemukan material konstruksi yang dibiarkan menghalangi jalan/trotoar</t>
  </si>
  <si>
    <t>G3ae</t>
  </si>
  <si>
    <t>Kondisi bebas hambatan ini konsisten di lebih dari satu titik pemantauan</t>
  </si>
  <si>
    <t>G3b</t>
  </si>
  <si>
    <t>Jalur hijau, taman &amp; RTH terawat, bebas vandalisme dan encroachment bangunan liar (Ps.13)</t>
  </si>
  <si>
    <t>G3ba</t>
  </si>
  <si>
    <t>Jalur hijau/taman/RTH pada titik pantau terlihat terawat, rumput/tanaman terpelihara</t>
  </si>
  <si>
    <t>G3bb</t>
  </si>
  <si>
    <t>Tidak ditemukan tanda vandalisme, seperti coretan atau kerusakan fasilitas, pada titik pantau</t>
  </si>
  <si>
    <t>G3bc</t>
  </si>
  <si>
    <t>Tidak ditemukan bangunan liar yang menempati area jalur hijau/RTH</t>
  </si>
  <si>
    <t>G3bd</t>
  </si>
  <si>
    <t>Fasilitas pendukung, seperti bangku, lampu taman, dan pagar, dalam kondisi berfungsi baik</t>
  </si>
  <si>
    <t>G3be</t>
  </si>
  <si>
    <t>Kondisi terawat ini konsisten di lebih dari satu lokasi RTH yang dipantau</t>
  </si>
  <si>
    <t>G3c</t>
  </si>
  <si>
    <t>Sungai &amp; selokan bebas dari pembuangan sampah liar dan pembuangan air besar/kecil sembarangan (Ps.12j &amp; Ps.9a)</t>
  </si>
  <si>
    <t>G3ca</t>
  </si>
  <si>
    <t>Sungai/selokan pada titik pantau tidak dipenuhi sampah yang menyumbat aliran</t>
  </si>
  <si>
    <t>G3cb</t>
  </si>
  <si>
    <t>Tidak ditemukan aktivitas pembuangan sampah baru secara langsung ke sungai/selokan saat pemantauan</t>
  </si>
  <si>
    <t>G3cc</t>
  </si>
  <si>
    <t>Tidak ditemukan indikasi praktik buang air besar/kecil sembarangan di area tersebut</t>
  </si>
  <si>
    <t>G3cd</t>
  </si>
  <si>
    <t>Kondisi ini konsisten di lebih dari satu titik sungai/selokan yang dipantau</t>
  </si>
  <si>
    <t>G3ce</t>
  </si>
  <si>
    <t>Kecamatan memiliki program/laporan pemantauan kebersihan sungai &amp; selokan secara berkala</t>
  </si>
  <si>
    <t>SKOR SUB-VARIABEL: G3 Ruang Publik</t>
  </si>
  <si>
    <t>SUB-VARIABEL: BAGIAN I — Aparatur: G4 Tertib Sosial &amp; Usaha (Ps. 7f-j Perda No.10/2021)  [D7]</t>
  </si>
  <si>
    <t>G4a</t>
  </si>
  <si>
    <t>Usaha pariwisata &amp; tempat usaha beroperasi sesuai izin resmi; tidak ada usaha ilegal yang mengganggu ketertiban umum (Ps.7f-g)</t>
  </si>
  <si>
    <t>G4aa</t>
  </si>
  <si>
    <t>Kecamatan memiliki data usaha pariwisata/tempat usaha yang beroperasi di wilayahnya</t>
  </si>
  <si>
    <t>G4ab</t>
  </si>
  <si>
    <t>Sampel usaha yang diperiksa memiliki izin resmi yang berlaku</t>
  </si>
  <si>
    <t>G4ac</t>
  </si>
  <si>
    <t>Tidak ditemukan usaha yang beroperasi tanpa izin pada sampel yang diperiksa</t>
  </si>
  <si>
    <t>G4ad</t>
  </si>
  <si>
    <t>Tidak ada laporan/keluhan gangguan ketertiban umum akibat aktivitas usaha tersebut</t>
  </si>
  <si>
    <t>G4ae</t>
  </si>
  <si>
    <t>Kecamatan memiliki mekanisme pengawasan izin usaha yang berjalan rutin</t>
  </si>
  <si>
    <t>G4b</t>
  </si>
  <si>
    <t>Tidak ada reklame liar, portal jalan tanpa izin, dan terminal bayangan di wilayah kecamatan (Ps.9d-e, Ps.9-5a)</t>
  </si>
  <si>
    <t>G4ba</t>
  </si>
  <si>
    <t>Tidak ditemukan reklame/baliho tanpa izin pada titik pantau</t>
  </si>
  <si>
    <t>G4bb</t>
  </si>
  <si>
    <t>Tidak ditemukan portal jalan yang dipasang tanpa izin resmi</t>
  </si>
  <si>
    <t>G4bc</t>
  </si>
  <si>
    <t>Tidak ditemukan aktivitas terminal bayangan atau angkutan liar pada titik pantau</t>
  </si>
  <si>
    <t>G4bd</t>
  </si>
  <si>
    <t>Kondisi bebas pelanggaran ini konsisten di lebih dari satu titik pemantauan</t>
  </si>
  <si>
    <t>G4be</t>
  </si>
  <si>
    <t>Kecamatan memiliki laporan penertiban reklame/portal/terminal liar bila sebelumnya ditemukan pelanggaran</t>
  </si>
  <si>
    <t>SKOR SUB-VARIABEL: G4 Tertib Sosial &amp; Usaha</t>
  </si>
  <si>
    <t>SUB-VARIABEL: BAGIAN I — Aparatur: G5 Partisipasi Warga (Ps. 6 Perda No.10/2021)  [D7]</t>
  </si>
  <si>
    <t>G5a</t>
  </si>
  <si>
    <t>Siskamling &amp; ronda malam aktif di tingkat RT/RW sebagai bentuk partisipasi warga menjaga ketenteraman (Ps.6)</t>
  </si>
  <si>
    <t>G5aa</t>
  </si>
  <si>
    <t>Struktur/jadwal siskamling atau ronda malam tercatat di tingkat RT/RW</t>
  </si>
  <si>
    <t>G5ab</t>
  </si>
  <si>
    <t>Pos ronda/siskamling secara fisik tersedia dan terawat</t>
  </si>
  <si>
    <t>G5ac</t>
  </si>
  <si>
    <t>Pelaksanaan ronda malam terkonfirmasi berjalan pada sampel RT/RW yang diperiksa</t>
  </si>
  <si>
    <t>G5ad</t>
  </si>
  <si>
    <t>Pelaksanaan tersebut konsisten, bukan hanya formalitas jadwal tanpa realisasi</t>
  </si>
  <si>
    <t>G5ae</t>
  </si>
  <si>
    <t>Tersedia catatan/laporan kegiatan siskamling yang terdokumentasi</t>
  </si>
  <si>
    <t>G5b</t>
  </si>
  <si>
    <t>Warga aktif melaporkan pelanggaran ketertiban kepada petugas kecamatan/Satpol PP melalui saluran yang tersedia</t>
  </si>
  <si>
    <t>G5ba</t>
  </si>
  <si>
    <t>Warga mengetahui adanya saluran pelaporan pelanggaran ketertiban</t>
  </si>
  <si>
    <t>G5bb</t>
  </si>
  <si>
    <t>Terdapat catatan laporan dari warga yang masuk melalui saluran tersebut</t>
  </si>
  <si>
    <t>G5bc</t>
  </si>
  <si>
    <t>Jumlah laporan warga menunjukkan partisipasi aktif, bukan nol laporan dalam periode panjang tanpa penjelasan</t>
  </si>
  <si>
    <t>G5bd</t>
  </si>
  <si>
    <t>Warga yang pernah melapor menyatakan mengetahui saluran tersebut dengan mudah</t>
  </si>
  <si>
    <t>G5be</t>
  </si>
  <si>
    <t>Kecamatan memiliki rekap laporan warga &amp; tindak lanjutnya yang terdokumentasi</t>
  </si>
  <si>
    <t>G5c</t>
  </si>
  <si>
    <t>Kecamatan menyelenggarakan sosialisasi Perda Ketertiban kepada warga minimal 1 kali per semester</t>
  </si>
  <si>
    <t>G5ca</t>
  </si>
  <si>
    <t>Kecamatan memiliki rencana sosialisasi Perda Ketertiban</t>
  </si>
  <si>
    <t>G5cb</t>
  </si>
  <si>
    <t>Sosialisasi benar-benar dilaksanakan minimal 1 kali dalam semester terakhir</t>
  </si>
  <si>
    <t>G5cc</t>
  </si>
  <si>
    <t>Materi sosialisasi mencakup substansi Perda No.10/2021 secara memadai</t>
  </si>
  <si>
    <t>G5cd</t>
  </si>
  <si>
    <t>Sosialisasi menjangkau lebih dari satu kelurahan/RT dalam kecamatan</t>
  </si>
  <si>
    <t>G5ce</t>
  </si>
  <si>
    <t>Tersedia dokumentasi (daftar hadir/foto/laporan) pelaksanaan sosialisasi tersebut</t>
  </si>
  <si>
    <t>SKOR SUB-VARIABEL: G5 Partisipasi Warga</t>
  </si>
  <si>
    <t>SUB-VARIABEL: BAGIAN II — Warga/Tokoh Masyarakat: Kondisi Ketertiban dari Perspektif Warga  [D7]</t>
  </si>
  <si>
    <t>W1</t>
  </si>
  <si>
    <t>Kondisi ketertiban jalan, trotoar &amp; fasilitas umum di lingkungan tempat tinggal Bapak/Ibu dalam 6 bulan terakhir</t>
  </si>
  <si>
    <t>W1a</t>
  </si>
  <si>
    <t>Warga dapat menggunakan trotoar/jalan tanpa hambatan berarti dalam kesehariannya</t>
  </si>
  <si>
    <t>W1b</t>
  </si>
  <si>
    <t>Warga tidak mengalami gangguan berulang akibat PKL liar/parkir liar di lingkungannya</t>
  </si>
  <si>
    <t>W1c</t>
  </si>
  <si>
    <t>Fasilitas umum di lingkungan warga dalam kondisi terawat menurut pengamatan warga</t>
  </si>
  <si>
    <t>W1d</t>
  </si>
  <si>
    <t>Warga menilai kondisi ini stabil/tidak memburuk dalam 6 bulan terakhir</t>
  </si>
  <si>
    <t>W1e</t>
  </si>
  <si>
    <t>Warga menyatakan puas secara keseluruhan terhadap ketertiban jalan &amp; fasilitas umum di lingkungannya</t>
  </si>
  <si>
    <t>W2</t>
  </si>
  <si>
    <t>Efektivitas kehadiran &amp; operasi Satpol PP dalam menertibkan pelanggaran di wilayah kecamatan ini</t>
  </si>
  <si>
    <t>W2a</t>
  </si>
  <si>
    <t>Warga pernah melihat kehadiran/patroli Satpol PP di wilayahnya</t>
  </si>
  <si>
    <t>W2b</t>
  </si>
  <si>
    <t>Warga mengetahui adanya operasi penertiban yang dilakukan Satpol PP</t>
  </si>
  <si>
    <t>W2c</t>
  </si>
  <si>
    <t>Warga menilai operasi tersebut membawa perubahan/perbaikan nyata di lingkungannya</t>
  </si>
  <si>
    <t>W2d</t>
  </si>
  <si>
    <t>Warga tidak mengalami pelanggaran ketertiban yang berulang meski sudah dilaporkan</t>
  </si>
  <si>
    <t>W2e</t>
  </si>
  <si>
    <t>Warga menyatakan puas secara keseluruhan dengan efektivitas kinerja Satpol PP</t>
  </si>
  <si>
    <t>W3</t>
  </si>
  <si>
    <t>Kondisi jalur hijau, taman &amp; sungai/selokan di wilayah kecamatan: kebersihan dan bebas vandalisme</t>
  </si>
  <si>
    <t>W3a</t>
  </si>
  <si>
    <t>Warga menilai jalur hijau/taman di lingkungannya dalam kondisi bersih</t>
  </si>
  <si>
    <t>W3b</t>
  </si>
  <si>
    <t>Warga tidak menemukan tanda vandalisme yang dibiarkan dalam waktu lama</t>
  </si>
  <si>
    <t>W3c</t>
  </si>
  <si>
    <t>Warga menilai sungai/selokan di lingkungannya relatif bebas sampah</t>
  </si>
  <si>
    <t>W3d</t>
  </si>
  <si>
    <t>Warga menilai kondisi ini stabil/membaik dalam 6 bulan terakhir</t>
  </si>
  <si>
    <t>W3e</t>
  </si>
  <si>
    <t>Warga menyatakan puas secara keseluruhan dengan kondisi ruang hijau &amp; saluran air di lingkungannya</t>
  </si>
  <si>
    <t>W4</t>
  </si>
  <si>
    <t>Keamanan &amp; ketenteraman lingkungan tempat tinggal Bapak/Ibu: bebas dari kejahatan, premanisme, &amp; gangguan sosial</t>
  </si>
  <si>
    <t>W4a</t>
  </si>
  <si>
    <t>Warga tidak mengalami/menyaksikan tindak kejahatan di lingkungannya dalam 6 bulan terakhir</t>
  </si>
  <si>
    <t>W4b</t>
  </si>
  <si>
    <t>Warga tidak mengalami gangguan premanisme di lingkungannya</t>
  </si>
  <si>
    <t>W4c</t>
  </si>
  <si>
    <t>Warga merasa aman beraktivitas di lingkungannya pada siang maupun malam hari</t>
  </si>
  <si>
    <t>W4d</t>
  </si>
  <si>
    <t>Warga menilai kondisi keamanan ini stabil/membaik dibanding periode sebelumnya</t>
  </si>
  <si>
    <t>W4e</t>
  </si>
  <si>
    <t>Warga menyatakan puas secara keseluruhan terhadap rasa aman &amp; tenteram di lingkungannya</t>
  </si>
  <si>
    <t>W5</t>
  </si>
  <si>
    <t>Secara keseluruhan, tingkat ketertiban umum di kecamatan ini dalam 6 bulan terakhir</t>
  </si>
  <si>
    <t>W5a</t>
  </si>
  <si>
    <t>Warga menilai kondisi ketertiban umum secara umum membaik atau setidaknya tidak memburuk</t>
  </si>
  <si>
    <t>CEK_A — KUESIONER A — KEPUASAN MASYARAKAT / SERVQUAL (DIMENSI D1)</t>
  </si>
  <si>
    <t>Skala asli instrumen: 1–5 (Ekspektasi &amp; Persepsi). Isi kolom kecamatan (Ya/Tidak) pada baris sub-item (a-e) di bawah tiap indikator induk. Baris 'Skor' &amp; 'SKOR SUBVAR'/'SKOR BLOK' terisi otomatis.</t>
  </si>
  <si>
    <t>SUB-VARIABEL: A. TANGIBLES — Bukti Fisik Sarana &amp; Fasilitas Layanan  [D1]</t>
  </si>
  <si>
    <t>A1</t>
  </si>
  <si>
    <t>Kondisi fisik kantor kecamatan/kelurahan: kebersihan, kerapian, dan kenyamanan ruang tunggu pelayanan</t>
  </si>
  <si>
    <t>A1a</t>
  </si>
  <si>
    <t>Ruang tunggu pelayanan tersedia dan dapat diakses warga tanpa hambatan</t>
  </si>
  <si>
    <t>A1b</t>
  </si>
  <si>
    <t>Ruang tunggu terlihat bersih, bebas sampah dan debu pada saat kunjungan</t>
  </si>
  <si>
    <t>A1c</t>
  </si>
  <si>
    <t>Kursi/tempat duduk tersedia dalam jumlah cukup dan tertata rapi</t>
  </si>
  <si>
    <t>A1d</t>
  </si>
  <si>
    <t>Ruang tunggu memiliki penerangan dan sirkulasi udara yang memadai (kipas angin/AC/ventilasi berfungsi)</t>
  </si>
  <si>
    <t>A1e</t>
  </si>
  <si>
    <t>Tersedia jadwal/petugas piket kebersihan ruang tunggu yang terdokumentasi dan dilaksanakan rutin</t>
  </si>
  <si>
    <t>A2</t>
  </si>
  <si>
    <t>Ketersediaan &amp; kelayakan TPS/Bank Sampah di kelurahan sebagai titik pengumpulan: container/bak tertutup, kapasitas memadai, tidak menimbulkan bau ke permukiman</t>
  </si>
  <si>
    <t>A2a</t>
  </si>
  <si>
    <t>TPS/Bank Sampah tersedia secara fisik di kelurahan</t>
  </si>
  <si>
    <t>A2b</t>
  </si>
  <si>
    <t>Container/bak sampah dalam kondisi tertutup, bukan terbuka atau tercecer</t>
  </si>
  <si>
    <t>A2c</t>
  </si>
  <si>
    <t>Kapasitas TPS memadai untuk menampung volume sampah harian tanpa meluap</t>
  </si>
  <si>
    <t>A2d</t>
  </si>
  <si>
    <t>Tidak tercium bau menyengat yang mengganggu permukiman di sekitar TPS saat kunjungan</t>
  </si>
  <si>
    <t>A2e</t>
  </si>
  <si>
    <t>TPS memiliki jadwal pengosongan/pembersihan rutin yang terdokumentasi dan dipatuhi</t>
  </si>
  <si>
    <t>A3</t>
  </si>
  <si>
    <t>Kondisi &amp; kelengkapan armada truk pengangkut sampah yang beroperasi di wilayah permukiman (layak pakai, tertutup, tidak berceceran)</t>
  </si>
  <si>
    <t>A3a</t>
  </si>
  <si>
    <t>Armada truk pengangkut sampah tersedia dan beroperasi di wilayah permukiman</t>
  </si>
  <si>
    <t>A3b</t>
  </si>
  <si>
    <t>Kondisi fisik truk layak jalan, tidak rusak berat/mogok saat beroperasi</t>
  </si>
  <si>
    <t>A3c</t>
  </si>
  <si>
    <t>Bak muatan truk tertutup terpal/penutup selama pengangkutan</t>
  </si>
  <si>
    <t>A3d</t>
  </si>
  <si>
    <t>Tidak ditemukan sampah berceceran di sepanjang rute pengangkutan</t>
  </si>
  <si>
    <t>A3e</t>
  </si>
  <si>
    <t>Armada memiliki catatan perawatan/pemeriksaan berkala yang terdokumentasi</t>
  </si>
  <si>
    <t>A4</t>
  </si>
  <si>
    <t>Ketersediaan papan informasi jadwal pengangkutan sampah &amp; lokasi TPS di tingkat RT/RW/kelurahan</t>
  </si>
  <si>
    <t>A4a</t>
  </si>
  <si>
    <t>Papan informasi jadwal pengangkutan sampah tersedia secara fisik di titik strategis</t>
  </si>
  <si>
    <t>A4b</t>
  </si>
  <si>
    <t>Informasi lokasi TPS tercantum jelas dan dapat dibaca warga</t>
  </si>
  <si>
    <t>A4c</t>
  </si>
  <si>
    <t>Isi informasi pada papan sesuai dengan jadwal aktual yang berlaku, tidak kedaluwarsa</t>
  </si>
  <si>
    <t>A4d</t>
  </si>
  <si>
    <t>Papan informasi terpasang di lebih dari satu titik (RT/RW/kelurahan) yang mudah dijangkau warga</t>
  </si>
  <si>
    <t>A4e</t>
  </si>
  <si>
    <t>Papan informasi diperbarui secara berkala dengan bukti tanggal pemutakhiran</t>
  </si>
  <si>
    <t>A5</t>
  </si>
  <si>
    <t>Ketersediaan papan informasi layanan adminduk (prosedur SIBISA, jadwal jemput bola, persyaratan dokumen) di kantor kecamatan</t>
  </si>
  <si>
    <t>A5a</t>
  </si>
  <si>
    <t>Papan/media informasi layanan adminduk tersedia di kantor kecamatan</t>
  </si>
  <si>
    <t>A5b</t>
  </si>
  <si>
    <t>Prosedur permohonan SIBISA tercantum secara lengkap dan mudah dipahami</t>
  </si>
  <si>
    <t>A5c</t>
  </si>
  <si>
    <t>Persyaratan dokumen untuk tiap jenis layanan (KTP-el, KK, akta, KIA) dicantumkan rinci</t>
  </si>
  <si>
    <t>A5d</t>
  </si>
  <si>
    <t>Jadwal layanan jemput bola tercantum dan sesuai dengan pelaksanaan aktual</t>
  </si>
  <si>
    <t>A5e</t>
  </si>
  <si>
    <t>Informasi diperbarui berkala dan tersedia juga dalam bentuk digital (website/medsos/WA) yang sinkron dengan papan fisik</t>
  </si>
  <si>
    <t>SKOR SUB-VARIABEL: Tangibles</t>
  </si>
  <si>
    <t>SUB-VARIABEL: B. RELIABILITY — Keandalan &amp; Konsistensi Layanan  [D1]</t>
  </si>
  <si>
    <t>B1</t>
  </si>
  <si>
    <t>Ketepatan jadwal pengangkutan sampah dari TPS/Bank Sampah menuju TPA sesuai rute dan jadwal yang ditetapkan</t>
  </si>
  <si>
    <t>B1a</t>
  </si>
  <si>
    <t>Jadwal pengangkutan sampah dari TPS ke TPA telah ditetapkan secara tertulis</t>
  </si>
  <si>
    <t>B1b</t>
  </si>
  <si>
    <t>Armada datang ke TPS sesuai hari yang dijadwalkan dalam 1 minggu terakhir</t>
  </si>
  <si>
    <t>B1c</t>
  </si>
  <si>
    <t>Armada datang sesuai rentang waktu (jam) yang dijadwalkan, bukan hanya harinya</t>
  </si>
  <si>
    <t>B1d</t>
  </si>
  <si>
    <t>Rute pengangkutan diikuti secara konsisten tanpa TPS yang terlewat</t>
  </si>
  <si>
    <t>B1e</t>
  </si>
  <si>
    <t>Tersedia log/catatan pengangkutan (waktu datang-pergi) yang terdokumentasi sebagai bukti kepatuhan jadwal</t>
  </si>
  <si>
    <t>B2</t>
  </si>
  <si>
    <t>TPS/Bank Sampah beroperasi konsisten setiap hari sehingga warga dapat membuang sampah kapan pun dibutuhkan</t>
  </si>
  <si>
    <t>B2a</t>
  </si>
  <si>
    <t>TPS/Bank Sampah buka/dapat diakses warga setiap hari dalam seminggu</t>
  </si>
  <si>
    <t>B2b</t>
  </si>
  <si>
    <t>Tidak ditemukan TPS terkunci/tertutup tanpa pemberitahuan pada jam operasional</t>
  </si>
  <si>
    <t>B2c</t>
  </si>
  <si>
    <t>Petugas/penjaga TPS hadir sesuai jam operasional yang ditetapkan</t>
  </si>
  <si>
    <t>B2d</t>
  </si>
  <si>
    <t>TPS tetap dapat digunakan warga meski di luar jam kerja kantor kecamatan (mis. malam/akhir pekan)</t>
  </si>
  <si>
    <t>B2e</t>
  </si>
  <si>
    <t>Tersedia mekanisme pelaporan bila TPS tidak beroperasi, dan direspons dalam waktu wajar</t>
  </si>
  <si>
    <t>B3</t>
  </si>
  <si>
    <t>Keandalan aplikasi SIBISA dalam memproses permohonan dokumen kependudukan secara online (tidak error, mudah diakses)</t>
  </si>
  <si>
    <t>B3a</t>
  </si>
  <si>
    <t>Aplikasi/website SIBISA dapat diakses warga menggunakan perangkat umum (HP/komputer)</t>
  </si>
  <si>
    <t>B3b</t>
  </si>
  <si>
    <t>Warga berhasil melakukan login/registrasi tanpa kendala teknis berulang</t>
  </si>
  <si>
    <t>B3c</t>
  </si>
  <si>
    <t>Proses pengajuan permohonan dapat diselesaikan tanpa error sistem pada saat uji coba</t>
  </si>
  <si>
    <t>B3d</t>
  </si>
  <si>
    <t>Status permohonan dapat dipantau secara real-time oleh pemohon</t>
  </si>
  <si>
    <t>B3e</t>
  </si>
  <si>
    <t>Tersedia catatan uptime/gangguan sistem SIBISA yang menunjukkan tingkat keandalan terukur</t>
  </si>
  <si>
    <t>B4</t>
  </si>
  <si>
    <t>Ketepatan waktu penerbitan dokumen kependudukan (KTP-el, KK, Akta Kelahiran, KIA) sesuai SOP yang berlaku</t>
  </si>
  <si>
    <t>B4a</t>
  </si>
  <si>
    <t>SOP tertulis mengenai lama waktu penerbitan tiap jenis dokumen tersedia</t>
  </si>
  <si>
    <t>B4b</t>
  </si>
  <si>
    <t>Dokumen yang diuji sampel diterbitkan dalam batas waktu SOP</t>
  </si>
  <si>
    <t>B4c</t>
  </si>
  <si>
    <t>Tidak ditemukan dokumen yang tertunda melebihi batas waktu SOP tanpa alasan tercatat</t>
  </si>
  <si>
    <t>B4d</t>
  </si>
  <si>
    <t>Pemohon menerima notifikasi/informasi bila terjadi keterlambatan</t>
  </si>
  <si>
    <t>B4e</t>
  </si>
  <si>
    <t>Tersedia rekapitulasi/log waktu proses seluruh dokumen yang dapat diverifikasi</t>
  </si>
  <si>
    <t>B5</t>
  </si>
  <si>
    <t>Konsistensi pelaksanaan layanan jemput bola adminduk ke kelurahan sesuai jadwal yang diumumkan kepada warga</t>
  </si>
  <si>
    <t>B5a</t>
  </si>
  <si>
    <t>Jadwal jemput bola adminduk ke kelurahan telah ditetapkan dan diumumkan</t>
  </si>
  <si>
    <t>B5b</t>
  </si>
  <si>
    <t>Layanan jemput bola benar-benar dilaksanakan pada tanggal yang diumumkan (bulan terakhir)</t>
  </si>
  <si>
    <t>B5c</t>
  </si>
  <si>
    <t>Petugas yang hadir sesuai dengan kompetensi, dapat memproses dokumen di lokasi</t>
  </si>
  <si>
    <t>B5d</t>
  </si>
  <si>
    <t>Layanan dilaksanakan di seluruh kelurahan sesuai jadwal, tidak ada kelurahan yang terlewat</t>
  </si>
  <si>
    <t>B5e</t>
  </si>
  <si>
    <t>Tersedia dokumentasi/laporan kehadiran &amp; hasil tiap pelaksanaan jemput bola</t>
  </si>
  <si>
    <t>SKOR SUB-VARIABEL: Reliability</t>
  </si>
  <si>
    <t>SUB-VARIABEL: C. RESPONSIVENESS — Ketanggapan &amp; Kecepatan Respons  [D1]</t>
  </si>
  <si>
    <t>Kecepatan petugas merespons laporan warga saat TPS/Bank Sampah penuh/meluap sebelum jadwal pengangkutan tiba</t>
  </si>
  <si>
    <t>Tersedia saluran/kontak untuk warga melaporkan TPS penuh/meluap</t>
  </si>
  <si>
    <t>Laporan warga direspons oleh petugas dalam waktu paling lambat 1×24 jam</t>
  </si>
  <si>
    <t>Tindakan lapangan (pengangkutan tambahan/pembersihan) dilakukan setelah laporan diterima</t>
  </si>
  <si>
    <t>Tidak ditemukan kasus TPS meluap yang dibiarkan lebih dari 2 hari tanpa tindak lanjut</t>
  </si>
  <si>
    <t>Tersedia log pengaduan dan tindak lanjut yang terdokumentasi untuk setiap laporan TPS meluap</t>
  </si>
  <si>
    <t>Kecepatan petugas menindaklanjuti keluhan warga apabila truk pengangkut tidak datang sesuai jadwal</t>
  </si>
  <si>
    <t>Tersedia saluran resmi bagi warga untuk melaporkan truk yang tidak datang</t>
  </si>
  <si>
    <t>Keluhan diterima dan dicatat oleh petugas yang berwenang</t>
  </si>
  <si>
    <t>Petugas memberikan konfirmasi/tindak lanjut kepada pelapor dalam paling lambat 1×24 jam</t>
  </si>
  <si>
    <t>Armada pengganti/susulan dikirim pada hari yang sama atau keesokan harinya</t>
  </si>
  <si>
    <t>Tersedia rekap keluhan &amp; penyelesaian yang dapat ditelusuri</t>
  </si>
  <si>
    <t>Kesigapan pelaksanaan operasi bersih-bersih (gotong royong) rutin di lingkungan permukiman sesuai jadwal (min. 2x/bulan)</t>
  </si>
  <si>
    <t>Jadwal gotong royong rutin telah ditetapkan minimal 2 kali per bulan</t>
  </si>
  <si>
    <t>Kegiatan gotong royong benar-benar dilaksanakan sesuai jadwal pada bulan terakhir</t>
  </si>
  <si>
    <t>Aparatur kecamatan/kelurahan turut hadir memobilisasi kegiatan</t>
  </si>
  <si>
    <t>Frekuensi pelaksanaan mencapai atau melebihi target 2x/bulan secara konsisten dalam 3 bulan terakhir</t>
  </si>
  <si>
    <t>Tersedia dokumentasi (foto/absensi/laporan) untuk setiap pelaksanaan gotong royong</t>
  </si>
  <si>
    <t>Kecepatan pengurusan dokumen kependudukan melalui layanan jemput bola keliling (warga tidak perlu antri lama)</t>
  </si>
  <si>
    <t>Warga dapat mengurus dokumen langsung di lokasi jemput bola tanpa harus kembali ke kantor kecamatan</t>
  </si>
  <si>
    <t>Waktu tunggu/antrian warga di lokasi jemput bola tercatat dan dipantau</t>
  </si>
  <si>
    <t>Rata-rata waktu layanan per warga berada dalam batas wajar (mis. maksimal 15 menit) berdasarkan pengamatan</t>
  </si>
  <si>
    <t>Tidak ditemukan antrian yang tidak terlayani hingga sesi jemput bola berakhir</t>
  </si>
  <si>
    <t>Tersedia sistem nomor antrian/pencatatan untuk menjamin kecepatan dan keadilan layanan</t>
  </si>
  <si>
    <t>Kecepatan respons helpdesk SIBISA dalam membantu warga yang mengalami kendala permohonan online</t>
  </si>
  <si>
    <t>Tersedia kontak/kanal helpdesk SIBISA yang dapat dihubungi warga (telepon/WA/email)</t>
  </si>
  <si>
    <t>Helpdesk merespons pertanyaan/kendala warga dalam paling lambat 1×24 jam kerja</t>
  </si>
  <si>
    <t>Petugas helpdesk mampu menyelesaikan kendala teknis dasar tanpa eskalasi berlarut</t>
  </si>
  <si>
    <t>Tersedia FAQ/panduan troubleshooting yang mudah diakses warga secara mandiri</t>
  </si>
  <si>
    <t>Tersedia log tiket bantuan &amp; waktu penyelesaian yang terdokumentasi dan dapat dievaluasi</t>
  </si>
  <si>
    <t>SKOR SUB-VARIABEL: Responsiveness</t>
  </si>
  <si>
    <t>SUB-VARIABEL: D. ASSURANCE — Jaminan Kompetensi, Keamanan &amp; Kepercayaan  [D1]</t>
  </si>
  <si>
    <t>Kemampuan &amp; pengetahuan petugas pengelola TPS dalam mengelola sampah secara aman dan sesuai prosedur</t>
  </si>
  <si>
    <t>D1a</t>
  </si>
  <si>
    <t>Petugas pengelola TPS yang ditugaskan dapat diidentifikasi dengan jelas (nama/SK penugasan)</t>
  </si>
  <si>
    <t>D1b</t>
  </si>
  <si>
    <t>Petugas menggunakan alat pelindung diri dasar (sarung tangan/masker/sepatu bot) saat bertugas</t>
  </si>
  <si>
    <t>D1c</t>
  </si>
  <si>
    <t>Petugas dapat menjelaskan prosedur dasar pemilahan/pengelolaan sampah dengan benar saat ditanya</t>
  </si>
  <si>
    <t>D1d</t>
  </si>
  <si>
    <t>Petugas pernah mengikuti pelatihan/briefing terkait pengelolaan sampah yang aman</t>
  </si>
  <si>
    <t>D1e</t>
  </si>
  <si>
    <t>Tidak ditemukan praktik pengelolaan sampah yang menyalahi prosedur, mis. pembakaran liar, di TPS tersebut</t>
  </si>
  <si>
    <t>TPS/Bank Sampah dikelola secara higienis: tidak mencemari lingkungan, tidak bau, bebas vektor penyakit</t>
  </si>
  <si>
    <t>D2a</t>
  </si>
  <si>
    <t>Area sekitar TPS tidak tergenang air limbah/lindi yang mencemari tanah</t>
  </si>
  <si>
    <t>D2b</t>
  </si>
  <si>
    <t>Tidak tercium bau menyengat pada radius permukiman terdekat saat kunjungan</t>
  </si>
  <si>
    <t>D2c</t>
  </si>
  <si>
    <t>Tidak ditemukan indikasi vektor penyakit (lalat/tikus dalam jumlah signifikan) di sekitar TPS</t>
  </si>
  <si>
    <t>D2d</t>
  </si>
  <si>
    <t>Sampah dipilah minimal antara organik dan anorganik di lokasi TPS</t>
  </si>
  <si>
    <t>D2e</t>
  </si>
  <si>
    <t>Tersedia jadwal &amp; bukti penyemprotan/desinfeksi atau pengelolaan higienis berkala</t>
  </si>
  <si>
    <t>Keamanan dan kerahasiaan data pribadi warga yang diproses melalui SIBISA maupun loket adminduk</t>
  </si>
  <si>
    <t>D3a</t>
  </si>
  <si>
    <t>Sistem SIBISA menggunakan autentikasi (login/OTP) sebelum data pribadi dapat diakses</t>
  </si>
  <si>
    <t>D3b</t>
  </si>
  <si>
    <t>Dokumen fisik warga di loket disimpan di tempat yang tidak dapat diakses sembarang orang</t>
  </si>
  <si>
    <t>D3c</t>
  </si>
  <si>
    <t>Petugas tidak membagikan data pribadi pemohon kepada pihak yang tidak berkepentingan</t>
  </si>
  <si>
    <t>D3d</t>
  </si>
  <si>
    <t>Tersedia kebijakan/SOP tertulis tentang perlindungan data pribadi warga</t>
  </si>
  <si>
    <t>D3e</t>
  </si>
  <si>
    <t>Tidak ditemukan/terlaporkan kasus kebocoran data pribadi warga dalam 1 tahun terakhir</t>
  </si>
  <si>
    <t>Kepercayaan warga atas keabsahan dokumen kependudukan yang diterbitkan melalui integrasi data RS/sekolah/panti asuhan</t>
  </si>
  <si>
    <t>D4a</t>
  </si>
  <si>
    <t>Sistem integrasi data dengan RS/sekolah/panti asuhan telah berjalan dan digunakan</t>
  </si>
  <si>
    <t>D4b</t>
  </si>
  <si>
    <t>Dokumen yang diterbitkan melalui integrasi tersebut memiliki kode/verifikasi keabsahan (QR/barcode/nomor validasi)</t>
  </si>
  <si>
    <t>D4c</t>
  </si>
  <si>
    <t>Sampel dokumen hasil integrasi yang diperiksa sesuai dengan data sumber, tidak ada selisih data</t>
  </si>
  <si>
    <t>D4d</t>
  </si>
  <si>
    <t>Warga dapat memverifikasi keabsahan dokumennya secara mandiri, online maupun offline</t>
  </si>
  <si>
    <t>D4e</t>
  </si>
  <si>
    <t>Tidak ditemukan/terlaporkan kasus dokumen tidak sah yang lolos akibat proses integrasi data</t>
  </si>
  <si>
    <t>Kesopanan, sikap ramah, dan profesionalisme petugas layanan persampahan maupun adminduk</t>
  </si>
  <si>
    <t>D5a</t>
  </si>
  <si>
    <t>Petugas mengenakan identitas/seragam yang jelas saat bertugas</t>
  </si>
  <si>
    <t>D5b</t>
  </si>
  <si>
    <t>Petugas menyapa dan melayani warga dengan bahasa yang sopan, diamati langsung atau dilaporkan warga</t>
  </si>
  <si>
    <t>D5c</t>
  </si>
  <si>
    <t>Petugas tidak menunjukkan sikap membeda-bedakan warga berdasarkan status sosial</t>
  </si>
  <si>
    <t>D5d</t>
  </si>
  <si>
    <t>Petugas memberikan penjelasan yang jelas tanpa mempersulit warga saat ditanya</t>
  </si>
  <si>
    <t>D5e</t>
  </si>
  <si>
    <t>Tidak ditemukan/terlaporkan keluhan atas sikap tidak profesional petugas dalam 3 bulan terakhir</t>
  </si>
  <si>
    <t>SKOR SUB-VARIABEL: Assurance</t>
  </si>
  <si>
    <t>SUB-VARIABEL: E. EMPATHY — Kepedulian &amp; Perhatian terhadap Kebutuhan Warga  [D1]</t>
  </si>
  <si>
    <t>CEK_D — KUESIONER D — KEMATANGAN DIGITAL / SPBE (DIMENSI D4)</t>
  </si>
  <si>
    <t>Skala asli instrumen: 1–4 (Maturity). Isi kolom kecamatan (Ya/Tidak) pada baris sub-item (a-e) di bawah tiap indikator induk. Baris 'Skor' &amp; 'SKOR SUBVAR'/'SKOR BLOK' terisi otomatis.</t>
  </si>
  <si>
    <t>SUB-VARIABEL: Layanan Digital Adminduk — SIBISA &amp; Integrasi Data  [D4]</t>
  </si>
  <si>
    <t>Kecamatan menggunakan SIBISA secara aktif untuk SEMUA layanan adminduk (KTP-el, KK, Akta Kelahiran, KIA) — bukan hanya sebagian</t>
  </si>
  <si>
    <t>SIBISA digunakan untuk minimal satu jenis layanan adminduk</t>
  </si>
  <si>
    <t>SIBISA digunakan untuk lebih dari satu jenis layanan, misalnya KTP-el dan KK</t>
  </si>
  <si>
    <t>SIBISA digunakan untuk seluruh 4 jenis layanan: KTP-el, KK, Akta Kelahiran, dan KIA</t>
  </si>
  <si>
    <t>Penggunaan SIBISA untuk seluruh layanan tersebut konsisten dalam 3 bulan terakhir, bukan uji coba sesaat</t>
  </si>
  <si>
    <t>Tersedia data statistik penggunaan SIBISA per jenis layanan yang menunjukkan pemanfaatan aktif dan menyeluruh</t>
  </si>
  <si>
    <t>Tersedia kanal digital resmi (website, medsos, WA Official) yang AKTIF untuk notifikasi jadwal jemput bola, status permohonan, dan info layanan</t>
  </si>
  <si>
    <t>Kecamatan memiliki minimal satu kanal digital resmi (website/medsos/WA Official)</t>
  </si>
  <si>
    <t>Kanal tersebut digunakan untuk menyampaikan notifikasi jadwal jemput bola</t>
  </si>
  <si>
    <t>Kanal tersebut juga digunakan untuk info status permohonan dokumen</t>
  </si>
  <si>
    <t>Kanal aktif memposting/merespons dalam 1 bulan terakhir, bukan kanal mati</t>
  </si>
  <si>
    <t>Warga terkonfirmasi memanfaatkan kanal tersebut untuk memperoleh informasi, via wawancara/data interaksi</t>
  </si>
  <si>
    <t>Integrasi data kependudukan dengan RS/klinik/puskesmas di wilayah kecamatan telah BERJALAN: warga dapat urus dokumen bersamaan kunjungan layanan kesehatan</t>
  </si>
  <si>
    <t>Kerja sama/integrasi teknis dengan minimal satu RS/klinik/puskesmas telah disepakati</t>
  </si>
  <si>
    <t>Sistem integrasi tersebut telah diuji dan berfungsi secara teknis</t>
  </si>
  <si>
    <t>Warga benar-benar dapat mengurus dokumen kependudukan bersamaan kunjungan layanan kesehatan</t>
  </si>
  <si>
    <t>Integrasi mencakup lebih dari satu fasilitas kesehatan di wilayah kecamatan</t>
  </si>
  <si>
    <t>Tersedia data jumlah warga yang terlayani melalui skema integrasi ini secara berkala</t>
  </si>
  <si>
    <t>Integrasi data kependudukan dengan sekolah &amp; panti asuhan di wilayah kecamatan telah berjalan dan terdata sistematis dalam sistem terverifikasi</t>
  </si>
  <si>
    <t>Kerja sama integrasi dengan minimal satu sekolah/panti asuhan telah disepakati</t>
  </si>
  <si>
    <t>Data yang terintegrasi tersimpan dalam sistem yang terverifikasi, bukan pencatatan manual lepas</t>
  </si>
  <si>
    <t>Integrasi mencakup lebih dari satu sekolah/panti asuhan di wilayah kecamatan</t>
  </si>
  <si>
    <t>Tersedia laporan pemanfaatan integrasi ini yang diperbarui secara berkala</t>
  </si>
  <si>
    <t>SKOR SUB-VARIABEL: Digital Adminduk</t>
  </si>
  <si>
    <t>SUB-VARIABEL: Layanan Digital Persampahan — TPS, Pengangkutan &amp; Gerakan Peduli Lingkungan  [D4]</t>
  </si>
  <si>
    <t>Tersedia sistem digital untuk pemantauan kapasitas &amp; status TPS/Bank Sampah secara real-time (petugas dapat jadwalkan pengangkutan responsif)</t>
  </si>
  <si>
    <t>Sistem/aplikasi pemantauan status TPS tersedia, meski sederhana seperti laporan via WA terstruktur</t>
  </si>
  <si>
    <t>Data status TPS diperbarui minimal harian</t>
  </si>
  <si>
    <t>Petugas dapat mengakses data tersebut untuk menjadwalkan pengangkutan secara responsif</t>
  </si>
  <si>
    <t>Sistem mencakup seluruh TPS di wilayah kecamatan, bukan sebagian</t>
  </si>
  <si>
    <t>Tersedia riwayat data (histori) status TPS yang dapat dianalisis untuk perbaikan layanan</t>
  </si>
  <si>
    <t>Optimasi jadwal &amp; jalur pengangkutan sampah menggunakan GPS tracking atau sistem manajemen armada berbasis data digital</t>
  </si>
  <si>
    <t>D6a</t>
  </si>
  <si>
    <t>Armada pengangkut sampah dilengkapi perangkat GPS/pelacak</t>
  </si>
  <si>
    <t>D6b</t>
  </si>
  <si>
    <t>Data posisi/rute armada dapat dipantau secara digital oleh kecamatan/operator</t>
  </si>
  <si>
    <t>D6c</t>
  </si>
  <si>
    <t>Data tracking digunakan untuk mengevaluasi/menyesuaikan rute secara berkala</t>
  </si>
  <si>
    <t>D6d</t>
  </si>
  <si>
    <t>Sistem mencakup seluruh armada yang beroperasi di kecamatan</t>
  </si>
  <si>
    <t>D6e</t>
  </si>
  <si>
    <t>Tersedia laporan optimasi rute berbasis data digital yang terdokumentasi</t>
  </si>
  <si>
    <t>Tersedia media digital aktif (WA grup RT/RW, konten medsos kelurahan) untuk info jadwal TPS, jadwal angkut, &amp; Gerakan Peduli Lingkungan</t>
  </si>
  <si>
    <t>D7a</t>
  </si>
  <si>
    <t>Grup WA RT/RW atau konten media sosial kelurahan terkait persampahan tersedia</t>
  </si>
  <si>
    <t>D7b</t>
  </si>
  <si>
    <t>Media tersebut memuat info jadwal TPS dan jadwal pengangkutan</t>
  </si>
  <si>
    <t>D7c</t>
  </si>
  <si>
    <t>Media tersebut juga memuat info kegiatan Gerakan Peduli Lingkungan</t>
  </si>
  <si>
    <t>D7d</t>
  </si>
  <si>
    <t>Media aktif memposting pembaruan dalam 1 bulan terakhir</t>
  </si>
  <si>
    <t>D7e</t>
  </si>
  <si>
    <t>Warga terkonfirmasi menjadi anggota/mengikuti media tersebut dalam jumlah signifikan</t>
  </si>
  <si>
    <t>SKOR SUB-VARIABEL: Digital Persampahan</t>
  </si>
  <si>
    <t>SUB-VARIABEL: Infrastruktur TIK, SOP Digital &amp; Pengaduan Elektronik  [D4]</t>
  </si>
  <si>
    <t>D8</t>
  </si>
  <si>
    <t>Kecamatan memiliki konektivitas internet yang memadai dan perangkat komputer/tablet operasional untuk mendukung SIBISA &amp; layanan digital lainnya</t>
  </si>
  <si>
    <t>D8a</t>
  </si>
  <si>
    <t>Kecamatan memiliki koneksi internet yang berfungsi di lokasi layanan</t>
  </si>
  <si>
    <t>D8b</t>
  </si>
  <si>
    <t>Kecepatan/koneksi internet memadai untuk mengakses SIBISA tanpa gangguan berarti</t>
  </si>
  <si>
    <t>D8c</t>
  </si>
  <si>
    <t>Perangkat komputer/tablet operasional tersedia dan berfungsi baik untuk layanan digital</t>
  </si>
  <si>
    <t>D8d</t>
  </si>
  <si>
    <t>Jumlah perangkat mencukupi kebutuhan operasional, tidak menyebabkan antrean akibat keterbatasan alat</t>
  </si>
  <si>
    <t>D8e</t>
  </si>
  <si>
    <t>Tersedia rencana/anggaran pemeliharaan perangkat &amp; konektivitas secara berkala</t>
  </si>
  <si>
    <t>D9</t>
  </si>
  <si>
    <t>Tersedia dan diterapkan SOP digital untuk penanganan pengaduan warga (TPS meluap, armada telat, kendala SIBISA) secara elektronik</t>
  </si>
  <si>
    <t>D9a</t>
  </si>
  <si>
    <t>SOP penanganan pengaduan secara elektronik tersedia secara tertulis</t>
  </si>
  <si>
    <t>D9b</t>
  </si>
  <si>
    <t>Kanal pengaduan elektronik (form online/WA/aplikasi) tersedia dan berfungsi</t>
  </si>
  <si>
    <t>D9c</t>
  </si>
  <si>
    <t>Petugas menerapkan SOP tersebut secara konsisten saat menerima pengaduan</t>
  </si>
  <si>
    <t>D9d</t>
  </si>
  <si>
    <t>Setiap pengaduan elektronik tercatat dengan status yang dapat dipantau</t>
  </si>
  <si>
    <t>D9e</t>
  </si>
  <si>
    <t>SOP dievaluasi/diperbarui secara berkala berdasarkan pengalaman penanganan pengaduan</t>
  </si>
  <si>
    <t>D10</t>
  </si>
  <si>
    <t>Sistem pengaduan digital responsif (waktu respons ≤1×24 jam kerja) dan memiliki tingkat resolusi tinggi (pengaduan terselesaikan, bukan sekadar tercatat)</t>
  </si>
  <si>
    <t>D10a</t>
  </si>
  <si>
    <t>Sistem pengaduan digital mencatat waktu masuk setiap pengaduan</t>
  </si>
  <si>
    <t>D10b</t>
  </si>
  <si>
    <t>Respons awal terhadap pengaduan diberikan dalam paling lambat 1×24 jam kerja pada sampel yang diperiksa</t>
  </si>
  <si>
    <t>D10c</t>
  </si>
  <si>
    <t>Pengaduan yang masuk memiliki status penyelesaian yang jelas: selesai, proses, atau ditolak dengan alasan</t>
  </si>
  <si>
    <t>D10d</t>
  </si>
  <si>
    <t>Mayoritas pengaduan, lebih dari 70%, berstatus terselesaikan, bukan hanya tercatat</t>
  </si>
  <si>
    <t>D10e</t>
  </si>
  <si>
    <t>Tersedia laporan kinerja penanganan pengaduan, rata-rata waktu respons &amp; tingkat resolusi, secara berkala</t>
  </si>
  <si>
    <t>SKOR SUB-VARIABEL: Infrastruktur TIK</t>
  </si>
  <si>
    <t>SKOR KUESIONER D (BLOK, 0-100)</t>
  </si>
  <si>
    <t>MASTER SUB-VARIABEL — SKOR PER KECAMATAN (deteksi variabel yang perlu diperhatikan)</t>
  </si>
  <si>
    <t>Bobot Subtotal (%)</t>
  </si>
  <si>
    <t>Rata-rata Kota</t>
  </si>
  <si>
    <t>A</t>
  </si>
  <si>
    <t>A. TANGIBLES — Bukti Fisik Sarana &amp; Fasilitas Layanan</t>
  </si>
  <si>
    <t>B. RELIABILITY — Keandalan &amp; Konsistensi Layanan</t>
  </si>
  <si>
    <t>C. RESPONSIVENESS — Ketanggapan &amp; Kecepatan Respons</t>
  </si>
  <si>
    <t>D. ASSURANCE — Jaminan Kompetensi, Keamanan &amp; Kepercayaan</t>
  </si>
  <si>
    <t>E. EMPATHY — Kepedulian &amp; Perhatian terhadap Kebutuhan Warga</t>
  </si>
  <si>
    <t>B</t>
  </si>
  <si>
    <t>Perspektif Proses Bisnis Internal — Program Persampahan</t>
  </si>
  <si>
    <t>Perspektif Proses Bisnis Internal — Program Adminduk</t>
  </si>
  <si>
    <t>Perspektif Pembelajaran &amp; Pertumbuhan — SDM &amp; Literasi Digital</t>
  </si>
  <si>
    <t>Perspektif Anggaran &amp; Efisiensi Keuangan</t>
  </si>
  <si>
    <t>C</t>
  </si>
  <si>
    <t>Transparansi — Keterbukaan Informasi Program Persampahan &amp; Adminduk</t>
  </si>
  <si>
    <t>Akuntabilitas — Pertanggungjawaban &amp; Mekanisme Pengaduan</t>
  </si>
  <si>
    <t>Partisipasi Publik — Kolaborasi Komunitas &amp; Keterlibatan Warga</t>
  </si>
  <si>
    <t>Supremasi Hukum — Kepatuhan Regulasi &amp; SOP</t>
  </si>
  <si>
    <t>D</t>
  </si>
  <si>
    <t>Layanan Digital Adminduk — SIBISA &amp; Integrasi Data</t>
  </si>
  <si>
    <t>Layanan Digital Persampahan — TPS, Pengangkutan &amp; Gerakan Peduli Lingkungan</t>
  </si>
  <si>
    <t>Infrastruktur TIK, SOP Digital &amp; Pengaduan Elektronik</t>
  </si>
  <si>
    <t>E</t>
  </si>
  <si>
    <t>BAGIAN I — Aparatur: F1 Identifikasi &amp; Verifikasi Sasaran (Ps. 5 &amp; 6 Perwal 10/2026)</t>
  </si>
  <si>
    <t>BAGIAN I — Aparatur: F2 Kelengkapan Administrasi (Ps. 6 ayat 5 Perwal 10/2026)</t>
  </si>
  <si>
    <t>BAGIAN I — Aparatur: F3 Musyawarah Kelurahan (Ps. 6 ayat 4 Perwal 10/2026)</t>
  </si>
  <si>
    <t>BAGIAN I — Aparatur: F4 Kualitas Pendampingan Penerima</t>
  </si>
  <si>
    <t>BAGIAN I — Aparatur: F5 Pemanfaatan SIKS-NG Digital (Real-time)</t>
  </si>
  <si>
    <t>BAGIAN II — Penerima Manfaat PKH Makmur (Pengalaman Penerima)</t>
  </si>
  <si>
    <t>F</t>
  </si>
  <si>
    <t>BAGIAN I — Aparatur: G1 Kepatuhan Warga (Ps. 5-6 Perda No.10/2021)</t>
  </si>
  <si>
    <t>BAGIAN I — Aparatur: G2 Operasi Penertiban Satpol PP (Ps. 7 Perda No.10/2021)</t>
  </si>
  <si>
    <t>BAGIAN I — Aparatur: G3 Kondisi Ruang Publik (Ps. 7a-c &amp; 13 Perda No.10/2021)</t>
  </si>
  <si>
    <t>BAGIAN I — Aparatur: G4 Tertib Sosial &amp; Usaha (Ps. 7f-j Perda No.10/2021)</t>
  </si>
  <si>
    <t>BAGIAN I — Aparatur: G5 Partisipasi Warga (Ps. 6 Perda No.10/2021)</t>
  </si>
  <si>
    <t>BAGIAN II — Warga/Tokoh Masyarakat: Kondisi Ketertiban dari Perspektif Warga</t>
  </si>
  <si>
    <t>PARAMETER &amp; PENGATURAN PERHITUNGAN</t>
  </si>
  <si>
    <t>Bobot Dimensi Inti QPI (D1-D5) — dapat diedit, QPI_Inti otomatis menyesuaikan</t>
  </si>
  <si>
    <t>D1 - Kepuasan Masyarakat (Kuesioner A)</t>
  </si>
  <si>
    <t>D2 - Tata Kelola / Good Governance (Kuesioner C)</t>
  </si>
  <si>
    <t>Total bobot (harus = 1.0000)</t>
  </si>
  <si>
    <t>Ambang Kategori QPI Inti &amp; Floor Nonkompensatori</t>
  </si>
  <si>
    <t>Sangat Baik, jika QPI Inti &gt;=</t>
  </si>
  <si>
    <t>Baik, jika QPI Inti &gt;=</t>
  </si>
  <si>
    <t>Cukup, jika QPI Inti &gt;=</t>
  </si>
  <si>
    <t>Perlu Perbaikan, jika QPI Inti &gt;=</t>
  </si>
  <si>
    <t>Kritis, jika QPI Inti &lt; baris di atas</t>
  </si>
  <si>
    <t>Ambang Floor Nonkompensatori (min. tiap dimensi D1-D5)</t>
  </si>
  <si>
    <t>Jika salah satu dari D1-D5 &lt; ambang floor ini, kategori kecamatan otomatis dibatasi maksimum 'Perlu Perbaikan' walaupun QPI Inti tertimbang masih tinggi (prinsip non-compensatory floor).</t>
  </si>
  <si>
    <t>Daftar 21 Kecamatan Kota Medan (basis urutan kolom seluruh sheet)</t>
  </si>
  <si>
    <t>Medan Tembung</t>
  </si>
  <si>
    <t>Medan Belawan</t>
  </si>
  <si>
    <t>Medan Marelan</t>
  </si>
  <si>
    <t>Medan Amplas</t>
  </si>
  <si>
    <t>Medan Perjuangan</t>
  </si>
  <si>
    <t>Medan Deli</t>
  </si>
  <si>
    <t>Medan Tuntungan</t>
  </si>
  <si>
    <t>Medan Selayang</t>
  </si>
  <si>
    <t>Medan Polonia</t>
  </si>
  <si>
    <t>Medan Area</t>
  </si>
  <si>
    <t>Medan Kota</t>
  </si>
  <si>
    <t>Medan Baru</t>
  </si>
  <si>
    <t>Medan Johor</t>
  </si>
  <si>
    <t>Medan Denai</t>
  </si>
  <si>
    <t>Medan Labuhan</t>
  </si>
  <si>
    <t>Medan Timur</t>
  </si>
  <si>
    <t>Medan Barat</t>
  </si>
  <si>
    <t>Medan Helvetia</t>
  </si>
  <si>
    <t>Medan Sunggal</t>
  </si>
  <si>
    <t>Medan Maimun</t>
  </si>
  <si>
    <t>Medan Petisah</t>
  </si>
  <si>
    <t>Catatan Pemetaan Dimensi (lihat sheet Panduan untuk penjelasan lengkap)</t>
  </si>
  <si>
    <t>• D1 = seluruh Kuesioner A (Servqual Kepuasan Masyarakat)</t>
  </si>
  <si>
    <t>• D2 = seluruh Kuesioner C (Tata Kelola &amp; Good Governance)</t>
  </si>
  <si>
    <t>• D3 = Kuesioner B, subvar Proses Bisnis Internal Persampahan + Adminduk (B1-B10)</t>
  </si>
  <si>
    <t>• D4 = Kuesioner D (Kematangan Digital, 10 item) digabung dengan Kuesioner B subvar SDM &amp; Literasi Digital (B11-B13), tertimbang bobot asli masing-masing</t>
  </si>
  <si>
    <t>• D5 = Kuesioner B, subvar Anggaran &amp; Efisiensi (B14-B15)</t>
  </si>
  <si>
    <t>• D6 = seluruh Kuesioner E (Modul Tematik PKH Makmur) — tidak masuk QPI Inti, ditampilkan terpisah</t>
  </si>
  <si>
    <t>• D7 = seluruh Kuesioner F (Modul Tematik Ketertiban Umum) — tidak masuk QPI Inti, ditampilkan terpisah</t>
  </si>
  <si>
    <t>MASTER 103 SUB-ITEM — SKOR PER KECAMATAN (deteksi sub item yang perlu dibenahi)</t>
  </si>
  <si>
    <t>Pernyataan Indikator Induk</t>
  </si>
  <si>
    <t>Tangibles</t>
  </si>
  <si>
    <t>Reliability</t>
  </si>
  <si>
    <t>Responsiveness</t>
  </si>
  <si>
    <t>Assurance</t>
  </si>
  <si>
    <t>Empathy</t>
  </si>
  <si>
    <t>E1</t>
  </si>
  <si>
    <t>Kepedulian kecamatan terhadap kebersihan lingkungan: memastikan tidak ada tumpukan sampah liar di sekitar TPS</t>
  </si>
  <si>
    <t>E2</t>
  </si>
  <si>
    <t>Perhatian terhadap warga lansia/disabilitas yang kesulitan membawa sampah ke TPS (tersedia solusi alternatif)</t>
  </si>
  <si>
    <t>E3</t>
  </si>
  <si>
    <t>Perhatian terhadap warga tidak melek digital yang kesulitan mengakses SIBISA online (tersedia bantuan/alternatif)</t>
  </si>
  <si>
    <t>E4</t>
  </si>
  <si>
    <t>Sosialisasi/kampanye kepada warga tentang tata cara membuang sampah di TPS secara benar (waktu, jenis, larangan)</t>
  </si>
  <si>
    <t>E5</t>
  </si>
  <si>
    <t>Kemudahan warga menyampaikan aspirasi, saran, atau keluhan terkait persampahan maupun adminduk</t>
  </si>
  <si>
    <t>Proses Persampahan</t>
  </si>
  <si>
    <t>Kecamatan telah menetapkan dan mengoperasikan TPS/Bank Sampah di setiap kelurahan (ada penjaga/petugas, jadwal operasional, kapasitas memadai)</t>
  </si>
  <si>
    <t>Kecamatan memastikan koordinasi pengangkutan dari TPS ke TPA berjalan sesuai jadwal (tidak ada akumulasi sampah &gt; 2 hari di TPS)</t>
  </si>
  <si>
    <t>Frekuensi penyelenggaraan operasi bersih-bersih (gotong royong) rutin di permukiman sesuai jadwal terprogram (target min. 2x/bulan)</t>
  </si>
  <si>
    <t>Tingkat optimalisasi jalur dan armada: persentase permukiman yang terlayani dari total wilayah kecamatan</t>
  </si>
  <si>
    <t>Frekuensi kampanye edukasi tata cara buang sampah kepada warga (target min. 1x/bulan)</t>
  </si>
  <si>
    <t>Proses Adminduk</t>
  </si>
  <si>
    <t>B6</t>
  </si>
  <si>
    <t>Kecamatan aktif mempromosikan &amp; membimbing warga menggunakan SIBISA untuk permohonan dokumen dari rumah</t>
  </si>
  <si>
    <t>B7</t>
  </si>
  <si>
    <t>Frekuensi layanan jemput bola adminduk turun ke kelurahan (target min. 2x/bulan) — sertakan jumlah dokumen diterbitkan</t>
  </si>
  <si>
    <t>B8</t>
  </si>
  <si>
    <t>Realisasi integrasi data kependudukan dengan RS/klinik di wilayah kecamatan</t>
  </si>
  <si>
    <t>B9</t>
  </si>
  <si>
    <t>Realisasi integrasi data kependudukan dengan sekolah &amp; panti asuhan di wilayah kecamatan</t>
  </si>
  <si>
    <t>B10</t>
  </si>
  <si>
    <t>Persentase permohonan adminduk diselesaikan tepat waktu sesuai SOP (SIBISA + loket manual)</t>
  </si>
  <si>
    <t>SDM &amp; Literasi Digital</t>
  </si>
  <si>
    <t>B11</t>
  </si>
  <si>
    <t>Aparatur mengikuti pelatihan pengelolaan TPS (SOP operasional, K3 persampahan, pemilahan dasar)</t>
  </si>
  <si>
    <t>B12</t>
  </si>
  <si>
    <t>Aparatur mengikuti pelatihan operasional SIBISA &amp; layanan adminduk digital</t>
  </si>
  <si>
    <t>B13</t>
  </si>
  <si>
    <t>Tersedia &amp; digunakan e-office, WA resmi, media sosial untuk mendukung operasional kecamatan sehari-hari</t>
  </si>
  <si>
    <t>Anggaran &amp; Efisiensi</t>
  </si>
  <si>
    <t>B14</t>
  </si>
  <si>
    <t>Persentase realisasi anggaran persampahan &amp; adminduk terhadap pagu yang ditetapkan</t>
  </si>
  <si>
    <t>B15</t>
  </si>
  <si>
    <t>Efisiensi belanja: rasio biaya operasional per ton sampah terangkut dan biaya per dokumen adminduk diterbitkan</t>
  </si>
  <si>
    <t>Transparansi</t>
  </si>
  <si>
    <t>Akuntabilitas</t>
  </si>
  <si>
    <t>Partisipasi Publik</t>
  </si>
  <si>
    <t>Supremasi Hukum</t>
  </si>
  <si>
    <t>Digital Adminduk</t>
  </si>
  <si>
    <t>Digital Persampahan</t>
  </si>
  <si>
    <t>Infrastruktur TIK</t>
  </si>
  <si>
    <t>F1 Identifikasi Sasaran</t>
  </si>
  <si>
    <t>F2 Kelengkapan Admin</t>
  </si>
  <si>
    <t>F3 Musyawarah Kelurahan</t>
  </si>
  <si>
    <t>F4 Pendampingan</t>
  </si>
  <si>
    <t>F5 SIKS-NG</t>
  </si>
  <si>
    <t>Pengalaman Penerima (P1-P5)</t>
  </si>
  <si>
    <t>G1 Kepatuhan Warga</t>
  </si>
  <si>
    <t>G2 Operasi Penertiban</t>
  </si>
  <si>
    <t>G3 Ruang Publik</t>
  </si>
  <si>
    <t>G4 Tertib Sosial &amp; Usaha</t>
  </si>
  <si>
    <t>G5 Partisipasi Warga</t>
  </si>
  <si>
    <t>Persepsi Warga (W1-W5)</t>
  </si>
  <si>
    <t>CEK_B — KUESIONER B — KINERJA INTERNAL APARATUR / BSC (DIMENSI D3, D4, D5)</t>
  </si>
  <si>
    <t>SUB-VARIABEL: Perspektif Proses Bisnis Internal — Program Persampahan  [D3]</t>
  </si>
  <si>
    <t>TPS/Bank Sampah tersedia secara fisik di setiap kelurahan tanpa terkecuali</t>
  </si>
  <si>
    <t>Setiap TPS memiliki petugas/penjaga yang ditetapkan dengan SK/penugasan resmi</t>
  </si>
  <si>
    <t>Jadwal operasional TPS ditetapkan tertulis dan dipasang di lokasi</t>
  </si>
  <si>
    <t>Kapasitas TPS memadai untuk volume sampah kelurahan tanpa meluap dalam kondisi normal</t>
  </si>
  <si>
    <t>Tersedia laporan operasional TPS per kelurahan yang direkap kecamatan secara berkala</t>
  </si>
  <si>
    <t>Kecamatan memiliki mekanisme koordinasi rutin dengan pihak pengangkut sampah ke TPA</t>
  </si>
  <si>
    <t>Jadwal pengangkutan disepakati tertulis antara kecamatan dan pihak pengangkut</t>
  </si>
  <si>
    <t>Tidak ditemukan akumulasi sampah lebih dari 2 hari di TPS manapun pada bulan terakhir</t>
  </si>
  <si>
    <t>Kecamatan melakukan pemantauan lapangan berkala terhadap kondisi TPS</t>
  </si>
  <si>
    <t>Tersedia laporan koordinasi &amp; tindak lanjut bila terjadi keterlambatan pengangkutan</t>
  </si>
  <si>
    <t>Program gotong royong rutin tercantum dalam rencana kerja kecamatan/kelurahan</t>
  </si>
  <si>
    <t>Pelaksanaan gotong royong tercatat minimal 2 kali dalam bulan terakhir</t>
  </si>
  <si>
    <t>Frekuensi minimal 2x/bulan tersebut konsisten selama 3 bulan terakhir</t>
  </si>
  <si>
    <t>Kegiatan melibatkan lebih dari satu kelurahan dalam wilayah kecamatan</t>
  </si>
  <si>
    <t>Tersedia laporan/dokumentasi pelaksanaan setiap kegiatan gotong royong yang terarsip rapi</t>
  </si>
  <si>
    <t>Kecamatan memiliki data/peta wilayah permukiman yang menjadi cakupan layanan pengangkutan sampah</t>
  </si>
  <si>
    <t>Data persentase permukiman yang terlayani telah dihitung dan didokumentasikan</t>
  </si>
  <si>
    <t>Persentase permukiman terlayani mencapai target minimal yang ditetapkan kebijakan kota</t>
  </si>
  <si>
    <t>Kecamatan memiliki rencana tindak lanjut untuk wilayah yang belum terlayani</t>
  </si>
  <si>
    <t>Data cakupan layanan diperbarui secara berkala, bukan data lama/statis</t>
  </si>
  <si>
    <t>Kecamatan memiliki program kampanye edukasi persampahan yang terjadwal</t>
  </si>
  <si>
    <t>Kampanye edukasi terlaksana minimal 1 kali pada bulan terakhir</t>
  </si>
  <si>
    <t>Frekuensi minimal 1x/bulan tersebut konsisten selama 3 bulan terakhir</t>
  </si>
  <si>
    <t>Kampanye menjangkau lebih dari satu segmen warga (RT/RW/sekolah/komunitas)</t>
  </si>
  <si>
    <t>Tersedia dokumentasi/laporan hasil setiap kampanye edukasi yang dilaksanakan</t>
  </si>
  <si>
    <t>SKOR SUB-VARIABEL: Proses Persampahan</t>
  </si>
  <si>
    <t>SUB-VARIABEL: Perspektif Proses Bisnis Internal — Program Adminduk  [D3]</t>
  </si>
  <si>
    <t>B6a</t>
  </si>
  <si>
    <t>Kecamatan memiliki materi promosi (banner/pamflet/konten) tentang penggunaan SIBISA</t>
  </si>
  <si>
    <t>B6b</t>
  </si>
  <si>
    <t>Aparatur pernah memberikan bimbingan langsung/pelatihan singkat kepada warga tentang SIBISA</t>
  </si>
  <si>
    <t>B6c</t>
  </si>
  <si>
    <t>Promosi SIBISA dilakukan melalui lebih dari satu kanal (tatap muka, medsos, RT/RW)</t>
  </si>
  <si>
    <t>B6d</t>
  </si>
  <si>
    <t>Terdapat peningkatan/data jumlah pengguna SIBISA yang tercatat dari waktu ke waktu</t>
  </si>
  <si>
    <t>B6e</t>
  </si>
  <si>
    <t>Tersedia laporan kegiatan promosi &amp; bimbingan SIBISA yang terdokumentasi</t>
  </si>
  <si>
    <t>B7a</t>
  </si>
  <si>
    <t>Jadwal jemput bola adminduk ke kelurahan ditetapkan tertulis</t>
  </si>
  <si>
    <t>B7b</t>
  </si>
  <si>
    <t>Pelaksanaan jemput bola tercatat minimal 2 kali pada bulan terakhir</t>
  </si>
  <si>
    <t>B7c</t>
  </si>
  <si>
    <t>B7d</t>
  </si>
  <si>
    <t>Data jumlah dokumen yang diterbitkan pada setiap sesi jemput bola tercatat</t>
  </si>
  <si>
    <t>B7e</t>
  </si>
  <si>
    <t>Laporan jemput bola (jadwal, lokasi, hasil) terdokumentasi dan dapat diverifikasi</t>
  </si>
  <si>
    <t>B8a</t>
  </si>
  <si>
    <t>Kecamatan memiliki daftar RS/klinik di wilayahnya yang menjadi target integrasi data</t>
  </si>
  <si>
    <t>B8b</t>
  </si>
  <si>
    <t>Kesepakatan/nota kerja sama integrasi data dengan minimal satu RS/klinik telah ditandatangani</t>
  </si>
  <si>
    <t>B8c</t>
  </si>
  <si>
    <t>Sistem integrasi data dengan RS/klinik tersebut telah berjalan secara teknis, bukan sebatas MoU</t>
  </si>
  <si>
    <t>B8d</t>
  </si>
  <si>
    <t>Integrasi mencakup lebih dari satu RS/klinik di wilayah kecamatan</t>
  </si>
  <si>
    <t>B8e</t>
  </si>
  <si>
    <t>Tersedia laporan/data hasil pemanfaatan integrasi, mis. jumlah warga yang terbantu, secara berkala</t>
  </si>
  <si>
    <t>B9a</t>
  </si>
  <si>
    <t>Kecamatan memiliki daftar sekolah &amp; panti asuhan di wilayahnya yang menjadi target integrasi data</t>
  </si>
  <si>
    <t>B9b</t>
  </si>
  <si>
    <t>Kesepakatan/nota kerja sama integrasi data dengan minimal satu sekolah/panti asuhan telah ada</t>
  </si>
  <si>
    <t>B9c</t>
  </si>
  <si>
    <t>Sistem integrasi data tersebut telah berjalan secara teknis</t>
  </si>
  <si>
    <t>B9d</t>
  </si>
  <si>
    <t>B9e</t>
  </si>
  <si>
    <t>Tersedia laporan/data hasil pemanfaatan integrasi yang diperbarui berkala</t>
  </si>
  <si>
    <t>B10a</t>
  </si>
  <si>
    <t>Kecamatan mencatat jumlah total permohonan adminduk yang masuk (SIBISA &amp; loket manual)</t>
  </si>
  <si>
    <t>B10b</t>
  </si>
  <si>
    <t>Kecamatan mencatat jumlah permohonan yang selesai tepat waktu sesuai SOP</t>
  </si>
  <si>
    <t>B10c</t>
  </si>
  <si>
    <t>Persentase penyelesaian tepat waktu mencapai target minimal yang ditetapkan</t>
  </si>
  <si>
    <t>B10d</t>
  </si>
  <si>
    <t>Permohonan yang terlambat memiliki catatan alasan &amp; tindak lanjut</t>
  </si>
  <si>
    <t>B10e</t>
  </si>
  <si>
    <t>Data rekapitulasi ketepatan waktu ini dilaporkan secara berkala ke tingkat kota</t>
  </si>
  <si>
    <t>SKOR SUB-VARIABEL: Proses Adminduk</t>
  </si>
  <si>
    <t>SUB-VARIABEL: Perspektif Pembelajaran &amp; Pertumbuhan — SDM &amp; Literasi Digital  [D4]</t>
  </si>
  <si>
    <t>B11a</t>
  </si>
  <si>
    <t>Tersedia daftar aparatur/petugas yang bertanggung jawab atas pengelolaan TPS</t>
  </si>
  <si>
    <t>B11b</t>
  </si>
  <si>
    <t>Minimal satu petugas per kelurahan pernah mengikuti pelatihan pengelolaan TPS</t>
  </si>
  <si>
    <t>B11c</t>
  </si>
  <si>
    <t>Materi pelatihan mencakup SOP operasional dan K3 persampahan dasar</t>
  </si>
  <si>
    <t>B11d</t>
  </si>
  <si>
    <t>Pelatihan diikuti dalam 1 tahun terakhir, bukan pelatihan lama yang sudah kedaluwarsa</t>
  </si>
  <si>
    <t>B11e</t>
  </si>
  <si>
    <t>Tersedia sertifikat/bukti keikutsertaan pelatihan yang terdokumentasi</t>
  </si>
  <si>
    <t>B12a</t>
  </si>
  <si>
    <t>Tersedia daftar aparatur yang bertugas mengoperasikan SIBISA</t>
  </si>
  <si>
    <t>B12b</t>
  </si>
  <si>
    <t>Minimal satu petugas per kecamatan pernah mengikuti pelatihan SIBISA</t>
  </si>
  <si>
    <t>B12c</t>
  </si>
  <si>
    <t>Petugas mampu mendemonstrasikan pengoperasian dasar SIBISA saat diminta</t>
  </si>
  <si>
    <t>B12d</t>
  </si>
  <si>
    <t>Pelatihan diikuti dalam 1 tahun terakhir</t>
  </si>
  <si>
    <t>B12e</t>
  </si>
  <si>
    <t>B13a</t>
  </si>
  <si>
    <t>Kecamatan memiliki akun e-office/WA resmi/media sosial yang aktif</t>
  </si>
  <si>
    <t>B13b</t>
  </si>
  <si>
    <t>Akun tersebut digunakan untuk komunikasi operasional dalam 1 bulan terakhir</t>
  </si>
  <si>
    <t>B13c</t>
  </si>
  <si>
    <t>Informasi yang dibagikan relevan dengan layanan publik, bukan hanya seremonial</t>
  </si>
  <si>
    <t>B13d</t>
  </si>
  <si>
    <t>Warga terlihat/tercatat berinteraksi (komentar/respons) pada kanal tersebut</t>
  </si>
  <si>
    <t>B13e</t>
  </si>
  <si>
    <t>Tersedia pengelola/admin resmi yang ditugaskan mengelola kanal tersebut secara rutin</t>
  </si>
  <si>
    <t>SKOR SUB-VARIABEL: SDM &amp; Literasi Digital</t>
  </si>
  <si>
    <t>SUB-VARIABEL: Perspektif Anggaran &amp; Efisiensi Keuangan  [D5]</t>
  </si>
  <si>
    <t>B14a</t>
  </si>
  <si>
    <t>Kecamatan memiliki dokumen pagu anggaran persampahan &amp; adminduk tahun berjalan</t>
  </si>
  <si>
    <t>B14b</t>
  </si>
  <si>
    <t>Kecamatan mencatat realisasi anggaran secara berkala (bulanan/triwulanan)</t>
  </si>
  <si>
    <t>B14c</t>
  </si>
  <si>
    <t>Realisasi anggaran berjalan sesuai atau mendekati target periode berjalan, tidak jauh menyimpang</t>
  </si>
  <si>
    <t>B14d</t>
  </si>
  <si>
    <t>Tidak ditemukan penyerapan anggaran yang menumpuk di akhir tahun sebagai indikasi perencanaan buruk</t>
  </si>
  <si>
    <t>B14e</t>
  </si>
  <si>
    <t>Tersedia laporan realisasi anggaran yang dapat diverifikasi dan diaudit</t>
  </si>
  <si>
    <t>B15a</t>
  </si>
  <si>
    <t>Kecamatan memiliki data biaya operasional persampahan dan jumlah sampah terangkut dalam ton</t>
  </si>
  <si>
    <t>B15b</t>
  </si>
  <si>
    <t>Kecamatan memiliki data biaya operasional adminduk dan jumlah dokumen diterbitkan</t>
  </si>
  <si>
    <t>B15c</t>
  </si>
  <si>
    <t>Rasio biaya per ton sampah dan per dokumen telah dihitung secara berkala</t>
  </si>
  <si>
    <t>B15d</t>
  </si>
  <si>
    <t>Rasio tersebut berada dalam batas wajar/efisien dibanding standar atau rata-rata kota</t>
  </si>
  <si>
    <t>B15e</t>
  </si>
  <si>
    <t>Tersedia laporan analisis efisiensi biaya yang digunakan sebagai dasar perbaikan</t>
  </si>
  <si>
    <t>SKOR SUB-VARIABEL: Anggaran &amp; Efisiensi</t>
  </si>
  <si>
    <t>SKOR KUESIONER B (BLOK, 0-100)</t>
  </si>
  <si>
    <t>QPI INTI, KATEGORI &amp; FLOOR PER KECAMATAN (bobot &amp; ambang dari sheet Parameter)</t>
  </si>
  <si>
    <t>Baris</t>
  </si>
  <si>
    <t>QPI</t>
  </si>
  <si>
    <t>QPI Inti (0-100)</t>
  </si>
  <si>
    <t>KAT</t>
  </si>
  <si>
    <t>FLR</t>
  </si>
  <si>
    <t>Status Floor</t>
  </si>
  <si>
    <t>Modul PKH Makmur</t>
  </si>
  <si>
    <t>Modul Ketertiban Umum</t>
  </si>
  <si>
    <t>P5c</t>
  </si>
  <si>
    <t>Penerima menyatakan pendampingan yang diterima bermanfaat</t>
  </si>
  <si>
    <t>P5d</t>
  </si>
  <si>
    <t>Penerima tidak memiliki keluhan besar yang belum terselesaikan terkait program ini</t>
  </si>
  <si>
    <t>P5e</t>
  </si>
  <si>
    <t>Penerima menyatakan akan merekomendasikan proses yang sama kepada tetangga/warga lain yang berhak</t>
  </si>
  <si>
    <t>SKOR SUB-VARIABEL: Pengalaman Penerima (P1-P5)</t>
  </si>
  <si>
    <t>SKOR KUESIONER E (BLOK, 0-100)</t>
  </si>
  <si>
    <t>W5b</t>
  </si>
  <si>
    <t>Warga tidak memiliki keluhan besar yang belum tertangani terkait ketertiban di wilayahnya</t>
  </si>
  <si>
    <t>W5c</t>
  </si>
  <si>
    <t>Warga merasa aparat, kecamatan &amp; Satpol PP, responsif terhadap isu ketertiban</t>
  </si>
  <si>
    <t>W5d</t>
  </si>
  <si>
    <t>Warga merasa dilibatkan/didengar dalam upaya menjaga ketertiban wilayahnya</t>
  </si>
  <si>
    <t>W5e</t>
  </si>
  <si>
    <t>Warga menyatakan puas secara keseluruhan dengan tingkat ketertiban umum di kecamatan ini</t>
  </si>
  <si>
    <t>SKOR SUB-VARIABEL: Persepsi Warga (W1-W5)</t>
  </si>
  <si>
    <t>SKOR KUESIONER F (BLOK, 0-100)</t>
  </si>
  <si>
    <t>E1a</t>
  </si>
  <si>
    <t>Kecamatan memiliki penanggung jawab/petugas patroli kebersihan lingkungan sekitar TPS</t>
  </si>
  <si>
    <t>E1b</t>
  </si>
  <si>
    <t>Tidak ditemukan tumpukan sampah liar dalam radius 50 meter dari TPS saat kunjungan</t>
  </si>
  <si>
    <t>E1c</t>
  </si>
  <si>
    <t>Titik-titik rawan sampah liar yang pernah ditemukan telah ditindaklanjuti/dibersihkan</t>
  </si>
  <si>
    <t>E1d</t>
  </si>
  <si>
    <t>Tersedia rambu/papan larangan membuang sampah sembarangan di titik rawan</t>
  </si>
  <si>
    <t>E1e</t>
  </si>
  <si>
    <t>Tersedia laporan/patroli rutin terdokumentasi terkait pemantauan sampah liar</t>
  </si>
  <si>
    <t>E2a</t>
  </si>
  <si>
    <t>Kecamatan/kelurahan mengetahui keberadaan warga lansia/disabilitas yang membutuhkan bantuan pembuangan sampah</t>
  </si>
  <si>
    <t>E2b</t>
  </si>
  <si>
    <t>Tersedia mekanisme/petugas yang membantu pengambilan sampah dari rumah warga lansia/disabilitas</t>
  </si>
  <si>
    <t>E2c</t>
  </si>
  <si>
    <t>Bantuan tersebut benar-benar dilaksanakan secara rutin, bukan insidental</t>
  </si>
  <si>
    <t>E2d</t>
  </si>
  <si>
    <t>Warga lansia/disabilitas yang diwawancarai menyatakan pernah menerima bantuan tersebut</t>
  </si>
  <si>
    <t>E2e</t>
  </si>
  <si>
    <t>Tersedia data/daftar penerima layanan alternatif ini yang terdokumentasi dan diperbarui</t>
  </si>
  <si>
    <t>E3a</t>
  </si>
  <si>
    <t>Tersedia petugas/loket bantuan tatap muka bagi warga yang tidak bisa mengakses SIBISA sendiri</t>
  </si>
  <si>
    <t>E3b</t>
  </si>
  <si>
    <t>Petugas bersedia membantu proses input/pengajuan SIBISA untuk warga yang kesulitan</t>
  </si>
  <si>
    <t>E3c</t>
  </si>
  <si>
    <t>Tersedia jalur layanan manual/offline sebagai alternatif SIBISA bagi warga lanjut usia/gaptek</t>
  </si>
  <si>
    <t>E3d</t>
  </si>
  <si>
    <t>Warga yang diwawancarai menyatakan mendapat bantuan saat mengalami kesulitan mengakses SIBISA</t>
  </si>
  <si>
    <t>E3e</t>
  </si>
  <si>
    <t>Tersedia catatan/log warga yang dibantu secara khusus karena kendala akses digital</t>
  </si>
  <si>
    <t>E4a</t>
  </si>
  <si>
    <t>Pernah dilaksanakan sosialisasi/kampanye tata cara membuang sampah dalam 6 bulan terakhir</t>
  </si>
  <si>
    <t>E4b</t>
  </si>
  <si>
    <t>Materi sosialisasi mencakup jenis sampah, waktu pembuangan, dan larangan yang berlaku</t>
  </si>
  <si>
    <t>E4c</t>
  </si>
  <si>
    <t>Sosialisasi menjangkau lebih dari satu kelurahan/RT dalam wilayah kecamatan</t>
  </si>
  <si>
    <t>E4d</t>
  </si>
  <si>
    <t>Tersedia media sosialisasi permanen (poster/spanduk/konten medsos) yang dapat diakses warga kapan saja</t>
  </si>
  <si>
    <t>E4e</t>
  </si>
  <si>
    <t>Tersedia dokumentasi pelaksanaan (daftar hadir/foto/laporan) untuk tiap sosialisasi yang dilakukan</t>
  </si>
  <si>
    <t>E5a</t>
  </si>
  <si>
    <t>Tersedia lebih dari satu kanal pengaduan (langsung, telepon/WA, online) yang diketahui warga</t>
  </si>
  <si>
    <t>E5b</t>
  </si>
  <si>
    <t>Kanal pengaduan tersebut aktif digunakan dan dapat diakses tanpa biaya</t>
  </si>
  <si>
    <t>E5c</t>
  </si>
  <si>
    <t>Warga yang mencoba menyampaikan keluhan mendapat tanggapan awal dalam waktu wajar</t>
  </si>
  <si>
    <t>E5d</t>
  </si>
  <si>
    <t>Warga tidak diminta prosedur berbelit (surat resmi/berjenjang) hanya untuk menyampaikan keluhan sederhana</t>
  </si>
  <si>
    <t>E5e</t>
  </si>
  <si>
    <t>Tersedia rekap aspirasi/keluhan warga beserta status tindak lanjutnya yang terdokumentasi</t>
  </si>
  <si>
    <t>SKOR SUB-VARIABEL: Empathy</t>
  </si>
  <si>
    <t>SKOR KUESIONER A (BLOK, 0-100)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</si>
</sst>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0"/>
  </numFmts>
  <fonts count="25">
    <font>
      <name val="Calibri"/>
      <sz val="11"/>
    </font>
    <font>
      <name val="Calibri"/>
      <b/>
      <sz val="16"/>
      <color rgb="FFFFFFFF"/>
    </font>
    <font>
      <name val="Calibri"/>
      <i/>
      <sz val="10"/>
      <color rgb="FF666666"/>
    </font>
    <font>
      <name val="Calibri"/>
      <b/>
      <sz val="8"/>
      <color rgb="FFFFFFFF"/>
    </font>
    <font>
      <name val="Calibri"/>
      <b/>
      <sz val="14"/>
      <color rgb="FF1F3B57"/>
    </font>
    <font>
      <name val="Calibri"/>
      <b/>
      <sz val="10"/>
      <color rgb="FFFFFFFF"/>
    </font>
    <font>
      <name val="Calibri"/>
      <b/>
      <sz val="9"/>
      <color rgb="FFFFFFFF"/>
    </font>
    <font>
      <name val="Calibri"/>
      <sz val="11"/>
      <color rgb="FF000000"/>
    </font>
    <font>
      <name val="Calibri"/>
      <b/>
      <sz val="9"/>
    </font>
    <font>
      <name val="Calibri"/>
      <b/>
      <sz val="9"/>
      <color rgb="FF142838"/>
    </font>
    <font>
      <name val="Calibri"/>
      <sz val="8"/>
    </font>
    <font>
      <name val="Calibri"/>
      <sz val="8"/>
    </font>
    <font>
      <name val="Calibri"/>
      <b/>
      <sz val="10"/>
      <color rgb="FFFFFFFF"/>
    </font>
    <font>
      <name val="Calibri"/>
      <i/>
      <sz val="8"/>
      <color rgb="FF142838"/>
    </font>
    <font>
      <name val="Calibri"/>
      <b/>
      <sz val="11"/>
      <color rgb="FF1F3B57"/>
    </font>
    <font>
      <name val="Calibri"/>
      <sz val="9"/>
    </font>
    <font>
      <name val="Calibri"/>
      <sz val="9"/>
    </font>
    <font>
      <name val="Calibri"/>
      <i/>
      <sz val="8"/>
      <color rgb="FF666666"/>
    </font>
    <font>
      <name val="Calibri"/>
      <sz val="8"/>
      <color rgb="FF666666"/>
    </font>
    <font>
      <name val="Calibri"/>
      <b/>
      <sz val="9"/>
      <color rgb="FFFFFFFF"/>
    </font>
    <font>
      <name val="Calibri"/>
      <b/>
      <sz val="9"/>
      <color rgb="FFFFFFFF"/>
    </font>
    <font>
      <name val="Calibri"/>
      <b/>
      <sz val="9"/>
      <color rgb="FF142838"/>
    </font>
    <font>
      <name val="Calibri"/>
      <sz val="9"/>
    </font>
    <font>
      <name val="Calibri"/>
      <b/>
      <sz val="10"/>
      <color rgb="FF142838"/>
    </font>
    <font>
      <name val="Calibri"/>
      <b/>
      <sz val="7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142838"/>
      </patternFill>
    </fill>
    <fill>
      <patternFill patternType="solid">
        <fgColor rgb="FFF2F6FB"/>
      </patternFill>
    </fill>
    <fill>
      <patternFill patternType="solid">
        <fgColor rgb="FFB8860B"/>
      </patternFill>
    </fill>
    <fill>
      <patternFill patternType="solid">
        <fgColor rgb="FFFDF3D9"/>
      </patternFill>
    </fill>
    <fill>
      <patternFill patternType="solid">
        <fgColor rgb="FFDCE6F1"/>
      </patternFill>
    </fill>
    <fill>
      <patternFill patternType="solid">
        <fgColor rgb="FFEFDFA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1" xfId="0" applyAlignment="1">
      <alignment horizontal="left" vertical="center"/>
    </xf>
    <xf numFmtId="0" fontId="2" fillId="0" borderId="0" xfId="0" applyAlignment="1">
      <alignment horizontal="left" vertical="center"/>
    </xf>
    <xf numFmtId="0" fontId="3" fillId="3" borderId="0" xfId="0" applyAlignment="1">
      <alignment horizontal="center" vertical="center" wrapText="1"/>
    </xf>
    <xf numFmtId="0" fontId="4" fillId="4" borderId="0" xfId="0" applyAlignment="1">
      <alignment horizontal="center" vertical="center" wrapText="1"/>
    </xf>
    <xf numFmtId="0" fontId="5" fillId="5" borderId="1" xfId="0" applyAlignment="1">
      <alignment horizontal="left" vertical="center"/>
    </xf>
    <xf numFmtId="0" fontId="6" fillId="2" borderId="1" xfId="0" applyAlignment="1">
      <alignment horizontal="center" vertical="center" wrapText="1"/>
    </xf>
    <xf numFmtId="0" fontId="7" fillId="0" borderId="1" xfId="0" applyAlignment="1">
      <alignment horizontal="center" vertical="center" wrapText="1"/>
    </xf>
    <xf numFmtId="0" fontId="8" fillId="0" borderId="1" xfId="0" applyAlignment="1">
      <alignment vertical="bottom"/>
    </xf>
    <xf numFmtId="0" fontId="9" fillId="0" borderId="1" xfId="0" applyAlignment="1">
      <alignment horizontal="center" vertical="center" wrapText="1"/>
    </xf>
    <xf numFmtId="0" fontId="10" fillId="0" borderId="1" xfId="0" applyAlignment="1">
      <alignment vertical="bottom"/>
    </xf>
    <xf numFmtId="0" fontId="11" fillId="0" borderId="1" xfId="0" applyAlignment="1">
      <alignment horizontal="center" vertical="center" wrapText="1"/>
    </xf>
    <xf numFmtId="0" fontId="12" fillId="3" borderId="1" xfId="0" applyAlignment="1">
      <alignment horizontal="left" vertical="center"/>
    </xf>
    <xf numFmtId="0" fontId="7" fillId="0" borderId="2" xfId="0" applyAlignment="1">
      <alignment vertical="bottom"/>
    </xf>
    <xf numFmtId="0" fontId="11" fillId="0" borderId="1" xfId="0" applyAlignment="1">
      <alignment horizontal="left" vertical="center" wrapText="1"/>
    </xf>
    <xf numFmtId="0" fontId="13" fillId="6" borderId="1" xfId="0" applyAlignment="1">
      <alignment horizontal="left" vertical="center"/>
    </xf>
    <xf numFmtId="0" fontId="14" fillId="0" borderId="0" xfId="0" applyAlignment="1">
      <alignment vertical="bottom"/>
    </xf>
    <xf numFmtId="0" fontId="15" fillId="0" borderId="0" xfId="0" applyAlignment="1">
      <alignment horizontal="left" vertical="top" wrapText="1"/>
    </xf>
    <xf numFmtId="0" fontId="12" fillId="5" borderId="1" xfId="0" applyAlignment="1">
      <alignment horizontal="left" vertical="center"/>
    </xf>
    <xf numFmtId="0" fontId="16" fillId="0" borderId="1" xfId="0" applyAlignment="1">
      <alignment vertical="bottom"/>
    </xf>
    <xf numFmtId="164" fontId="9" fillId="0" borderId="1" xfId="0" applyAlignment="1">
      <alignment horizontal="center" vertical="center" wrapText="1"/>
    </xf>
    <xf numFmtId="0" fontId="8" fillId="0" borderId="0" xfId="0" applyAlignment="1">
      <alignment vertical="bottom"/>
    </xf>
    <xf numFmtId="164" fontId="8" fillId="0" borderId="0" xfId="0" applyAlignment="1">
      <alignment horizontal="center" vertical="center" wrapText="1"/>
    </xf>
    <xf numFmtId="0" fontId="17" fillId="0" borderId="0" xfId="0" applyAlignment="1">
      <alignment vertical="bottom"/>
    </xf>
    <xf numFmtId="0" fontId="7" fillId="0" borderId="0" xfId="0" applyAlignment="1">
      <alignment horizontal="center" vertical="center" wrapText="1"/>
    </xf>
    <xf numFmtId="0" fontId="16" fillId="0" borderId="0" xfId="0" applyAlignment="1">
      <alignment vertical="bottom"/>
    </xf>
    <xf numFmtId="0" fontId="18" fillId="0" borderId="0" xfId="0" applyAlignment="1">
      <alignment vertical="bottom"/>
    </xf>
    <xf numFmtId="0" fontId="3" fillId="2" borderId="1" xfId="0" applyAlignment="1">
      <alignment horizontal="center" vertical="center" wrapText="1"/>
    </xf>
    <xf numFmtId="0" fontId="7" fillId="7" borderId="1" xfId="0" applyAlignment="1">
      <alignment vertical="bottom"/>
    </xf>
    <xf numFmtId="0" fontId="8" fillId="7" borderId="1" xfId="0" applyAlignment="1">
      <alignment horizontal="center" vertical="center" wrapText="1"/>
    </xf>
    <xf numFmtId="0" fontId="8" fillId="7" borderId="1" xfId="0" applyAlignment="1">
      <alignment horizontal="left" vertical="center" wrapText="1"/>
    </xf>
    <xf numFmtId="0" fontId="9" fillId="7" borderId="1" xfId="0" applyAlignment="1">
      <alignment horizontal="center" vertical="center" wrapText="1"/>
    </xf>
    <xf numFmtId="0" fontId="7" fillId="0" borderId="1" xfId="0" applyAlignment="1">
      <alignment vertical="bottom"/>
    </xf>
    <xf numFmtId="0" fontId="10" fillId="0" borderId="1" xfId="0" applyAlignment="1">
      <alignment horizontal="center" vertical="center" wrapText="1"/>
    </xf>
    <xf numFmtId="0" fontId="17" fillId="0" borderId="1" xfId="0" applyAlignment="1">
      <alignment horizontal="left" vertical="center" wrapText="1"/>
    </xf>
    <xf numFmtId="0" fontId="16" fillId="0" borderId="1" xfId="0" applyAlignment="1">
      <alignment horizontal="center" vertical="center" wrapText="1"/>
    </xf>
    <xf numFmtId="0" fontId="7" fillId="5" borderId="1" xfId="0" applyAlignment="1">
      <alignment vertical="bottom"/>
    </xf>
    <xf numFmtId="0" fontId="19" fillId="5" borderId="1" xfId="0" applyAlignment="1">
      <alignment vertical="bottom"/>
    </xf>
    <xf numFmtId="0" fontId="20" fillId="5" borderId="1" xfId="0" applyAlignment="1">
      <alignment horizontal="center" vertical="center" wrapText="1"/>
    </xf>
    <xf numFmtId="0" fontId="21" fillId="8" borderId="1" xfId="0" applyAlignment="1">
      <alignment horizontal="center" vertical="center" wrapText="1"/>
    </xf>
    <xf numFmtId="0" fontId="5" fillId="3" borderId="1" xfId="0" applyAlignment="1">
      <alignment horizontal="left" vertical="center"/>
    </xf>
    <xf numFmtId="0" fontId="5" fillId="3" borderId="1" xfId="0" applyAlignment="1">
      <alignment horizontal="center" vertical="center" wrapText="1"/>
    </xf>
    <xf numFmtId="0" fontId="8" fillId="0" borderId="1" xfId="0" applyAlignment="1">
      <alignment horizontal="center" vertical="center" wrapText="1"/>
    </xf>
    <xf numFmtId="0" fontId="22" fillId="0" borderId="1" xfId="0" applyAlignment="1">
      <alignment horizontal="left" vertical="center"/>
    </xf>
    <xf numFmtId="0" fontId="23" fillId="7" borderId="1" xfId="0" applyAlignment="1">
      <alignment horizontal="center" vertical="center" wrapText="1"/>
    </xf>
    <xf numFmtId="0" fontId="8" fillId="0" borderId="1" xfId="0" applyAlignment="1">
      <alignment horizontal="left" vertical="center"/>
    </xf>
    <xf numFmtId="0" fontId="24" fillId="2" borderId="1" xfId="0" applyAlignment="1">
      <alignment horizontal="center" vertical="center" wrapText="1"/>
    </xf>
    <xf numFmtId="0" fontId="7" fillId="0" borderId="1" xfId="0" applyAlignment="1">
      <alignment horizontal="left" vertical="center"/>
    </xf>
    <xf numFmtId="0" fontId="10" fillId="0" borderId="1" xfId="0" applyAlignment="1">
      <alignment horizontal="left" vertical="center" wrapText="1"/>
    </xf>
  </cellXfs>
  <cellStyles count="1">
    <cellStyle name="常规" xfId="0" builtinId="0"/>
  </cellStyles>
  <dxfs count="3">
    <dxf>
      <fill>
        <patternFill patternType="solid">
          <fgColor rgb="FFF4A6A6"/>
        </patternFill>
      </fill>
    </dxf>
    <dxf>
      <fill>
        <patternFill patternType="solid">
          <fgColor rgb="FFF4A6A6"/>
        </patternFill>
      </fill>
    </dxf>
    <dxf>
      <fill>
        <patternFill patternType="solid">
          <fgColor rgb="FFC6E0B4"/>
        </patternFill>
      </fill>
    </dxf>
  </dxfs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www.wps.cn/officeDocument/2020/cellImage" Target="cellimages.xml"/><Relationship Id="rId15" Type="http://schemas.openxmlformats.org/officeDocument/2006/relationships/sharedStrings" Target="sharedStrings.xml"/><Relationship Id="rId16" Type="http://schemas.openxmlformats.org/officeDocument/2006/relationships/styles" Target="styles.xml"/><Relationship Id="rId1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N47"/>
  <sheetViews>
    <sheetView workbookViewId="0" topLeftCell="A27" showGridLines="0" zoomScale="60">
      <selection activeCell="A1" sqref="A1"/>
    </sheetView>
  </sheetViews>
  <sheetFormatPr defaultRowHeight="15.0" defaultColWidth="10"/>
  <cols>
    <col min="1" max="1" customWidth="1" width="3.0" style="0"/>
    <col min="2" max="2" customWidth="1" width="16.0" style="0"/>
    <col min="3" max="3" customWidth="1" width="13.0" style="0"/>
    <col min="4" max="4" customWidth="1" width="13.0" style="0"/>
    <col min="5" max="5" customWidth="1" width="16.0" style="0"/>
    <col min="6" max="6" customWidth="1" width="10.0" style="0"/>
    <col min="7" max="7" customWidth="1" width="10.0" style="0"/>
    <col min="8" max="8" customWidth="1" width="10.0" style="0"/>
    <col min="9" max="9" customWidth="1" width="10.0" style="0"/>
    <col min="10" max="10" customWidth="1" width="10.0" style="0"/>
    <col min="11" max="11" customWidth="1" width="10.0" style="0"/>
    <col min="12" max="12" customWidth="1" width="10.0" style="0"/>
    <col min="13" max="13" customWidth="1" width="10.0" style="0"/>
  </cols>
  <sheetData>
    <row r="2" spans="8:8" ht="30.0" customHeight="1">
      <c r="B2" s="1" t="s">
        <v>0</v>
      </c>
    </row>
    <row r="3" spans="8:8">
      <c r="B3" s="2" t="s">
        <v>1</v>
      </c>
    </row>
    <row r="5" spans="8:8">
      <c r="B5" s="3" t="s">
        <v>2</v>
      </c>
      <c r="E5" s="3" t="s">
        <v>3</v>
      </c>
      <c r="G5" s="3" t="s">
        <v>4</v>
      </c>
      <c r="I5" s="3" t="s">
        <v>5</v>
      </c>
      <c r="K5" s="3" t="s">
        <v>6</v>
      </c>
    </row>
    <row r="6" spans="8:8" ht="26.0" customHeight="1">
      <c r="B6" s="4" t="str">
        <f>_xlfn.IFERROR(ROUND(AVERAGE(QPI_Inti!E4:Y4),1),"")</f>
        <v/>
      </c>
      <c r="E6" s="4">
        <f>COUNTIF(QPI_Inti!E5:Y5,"*Kritis*")</f>
        <v>0.0</v>
      </c>
      <c r="G6" s="4">
        <f>COUNTIF(QPI_Inti!E6:Y6,"FLOOR AKTIF")</f>
        <v>0.0</v>
      </c>
      <c r="I6" s="4">
        <f>COUNTIF(QPI_Inti!E5:Y5,"Sangat Baik")</f>
        <v>0.0</v>
      </c>
      <c r="K6" s="4" t="str">
        <f>_xlfn.IFERROR(INDEX(QPI_Inti!E$3:Y$3,MATCH(MIN(QPI_Inti!E4:Y4),QPI_Inti!E4:Y4,0)),"-")</f>
        <v>-</v>
      </c>
    </row>
    <row r="9" spans="8:8">
      <c r="B9" s="5" t="s">
        <v>7</v>
      </c>
    </row>
    <row r="10" spans="8:8"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  <c r="H10" s="6" t="s">
        <v>14</v>
      </c>
      <c r="I10" s="6" t="s">
        <v>15</v>
      </c>
      <c r="J10" s="6" t="s">
        <v>16</v>
      </c>
      <c r="K10" s="6" t="s">
        <v>17</v>
      </c>
      <c r="L10" s="6" t="s">
        <v>18</v>
      </c>
      <c r="M10" s="6" t="s">
        <v>19</v>
      </c>
    </row>
    <row r="11" spans="8:8">
      <c r="B11" s="7" t="str">
        <f>_xlfn.IFERROR(RANK(QPI_Inti!E4,QPI_Inti!E4:Y4,0),"")</f>
        <v/>
      </c>
      <c r="C11" s="8" t="str">
        <f>QPI_Inti!E$3</f>
        <v>Tembung</v>
      </c>
      <c r="D11" s="9" t="str">
        <f>QPI_Inti!E4</f>
        <v/>
      </c>
      <c r="E11" s="10" t="str">
        <f>QPI_Inti!E5</f>
        <v/>
      </c>
      <c r="F11" s="7" t="str">
        <f>Skor_Dimensi!E4</f>
        <v/>
      </c>
      <c r="G11" s="7" t="str">
        <f>Skor_Dimensi!E5</f>
        <v/>
      </c>
      <c r="H11" s="7" t="str">
        <f>Skor_Dimensi!E6</f>
        <v/>
      </c>
      <c r="I11" s="7" t="str">
        <f>Skor_Dimensi!E7</f>
        <v/>
      </c>
      <c r="J11" s="7" t="str">
        <f>Skor_Dimensi!E8</f>
        <v/>
      </c>
      <c r="K11" s="7" t="str">
        <f>Skor_Dimensi!E9</f>
        <v/>
      </c>
      <c r="L11" s="7" t="str">
        <f>Skor_Dimensi!E10</f>
        <v/>
      </c>
      <c r="M11" s="11" t="str">
        <f>QPI_Inti!E6</f>
        <v/>
      </c>
    </row>
    <row r="12" spans="8:8">
      <c r="B12" s="7" t="str">
        <f>_xlfn.IFERROR(RANK(QPI_Inti!F4,QPI_Inti!E4:Y4,0),"")</f>
        <v/>
      </c>
      <c r="C12" s="8" t="str">
        <f>QPI_Inti!F$3</f>
        <v>Belawan</v>
      </c>
      <c r="D12" s="9" t="str">
        <f>QPI_Inti!F4</f>
        <v/>
      </c>
      <c r="E12" s="10" t="str">
        <f>QPI_Inti!F5</f>
        <v/>
      </c>
      <c r="F12" s="7" t="str">
        <f>Skor_Dimensi!F4</f>
        <v/>
      </c>
      <c r="G12" s="7" t="str">
        <f>Skor_Dimensi!F5</f>
        <v/>
      </c>
      <c r="H12" s="7" t="str">
        <f>Skor_Dimensi!F6</f>
        <v/>
      </c>
      <c r="I12" s="7" t="str">
        <f>Skor_Dimensi!F7</f>
        <v/>
      </c>
      <c r="J12" s="7" t="str">
        <f>Skor_Dimensi!F8</f>
        <v/>
      </c>
      <c r="K12" s="7" t="str">
        <f>Skor_Dimensi!F9</f>
        <v/>
      </c>
      <c r="L12" s="7" t="str">
        <f>Skor_Dimensi!F10</f>
        <v/>
      </c>
      <c r="M12" s="11" t="str">
        <f>QPI_Inti!F6</f>
        <v/>
      </c>
    </row>
    <row r="13" spans="8:8">
      <c r="B13" s="7" t="str">
        <f>_xlfn.IFERROR(RANK(QPI_Inti!G4,QPI_Inti!E4:Y4,0),"")</f>
        <v/>
      </c>
      <c r="C13" s="8" t="str">
        <f>QPI_Inti!G$3</f>
        <v>Marelan</v>
      </c>
      <c r="D13" s="9" t="str">
        <f>QPI_Inti!G4</f>
        <v/>
      </c>
      <c r="E13" s="10" t="str">
        <f>QPI_Inti!G5</f>
        <v/>
      </c>
      <c r="F13" s="7" t="str">
        <f>Skor_Dimensi!G4</f>
        <v/>
      </c>
      <c r="G13" s="7" t="str">
        <f>Skor_Dimensi!G5</f>
        <v/>
      </c>
      <c r="H13" s="7" t="str">
        <f>Skor_Dimensi!G6</f>
        <v/>
      </c>
      <c r="I13" s="7" t="str">
        <f>Skor_Dimensi!G7</f>
        <v/>
      </c>
      <c r="J13" s="7" t="str">
        <f>Skor_Dimensi!G8</f>
        <v/>
      </c>
      <c r="K13" s="7" t="str">
        <f>Skor_Dimensi!G9</f>
        <v/>
      </c>
      <c r="L13" s="7" t="str">
        <f>Skor_Dimensi!G10</f>
        <v/>
      </c>
      <c r="M13" s="11" t="str">
        <f>QPI_Inti!G6</f>
        <v/>
      </c>
    </row>
    <row r="14" spans="8:8">
      <c r="B14" s="7" t="str">
        <f>_xlfn.IFERROR(RANK(QPI_Inti!H4,QPI_Inti!E4:Y4,0),"")</f>
        <v/>
      </c>
      <c r="C14" s="8" t="str">
        <f>QPI_Inti!H$3</f>
        <v>Amplas</v>
      </c>
      <c r="D14" s="9" t="str">
        <f>QPI_Inti!H4</f>
        <v/>
      </c>
      <c r="E14" s="10" t="str">
        <f>QPI_Inti!H5</f>
        <v/>
      </c>
      <c r="F14" s="7" t="str">
        <f>Skor_Dimensi!H4</f>
        <v/>
      </c>
      <c r="G14" s="7" t="str">
        <f>Skor_Dimensi!H5</f>
        <v/>
      </c>
      <c r="H14" s="7" t="str">
        <f>Skor_Dimensi!H6</f>
        <v/>
      </c>
      <c r="I14" s="7" t="str">
        <f>Skor_Dimensi!H7</f>
        <v/>
      </c>
      <c r="J14" s="7" t="str">
        <f>Skor_Dimensi!H8</f>
        <v/>
      </c>
      <c r="K14" s="7" t="str">
        <f>Skor_Dimensi!H9</f>
        <v/>
      </c>
      <c r="L14" s="7" t="str">
        <f>Skor_Dimensi!H10</f>
        <v/>
      </c>
      <c r="M14" s="11" t="str">
        <f>QPI_Inti!H6</f>
        <v/>
      </c>
    </row>
    <row r="15" spans="8:8">
      <c r="B15" s="7" t="str">
        <f>_xlfn.IFERROR(RANK(QPI_Inti!I4,QPI_Inti!E4:Y4,0),"")</f>
        <v/>
      </c>
      <c r="C15" s="8" t="str">
        <f>QPI_Inti!I$3</f>
        <v>Perjuangan</v>
      </c>
      <c r="D15" s="9" t="str">
        <f>QPI_Inti!I4</f>
        <v/>
      </c>
      <c r="E15" s="10" t="str">
        <f>QPI_Inti!I5</f>
        <v/>
      </c>
      <c r="F15" s="7" t="str">
        <f>Skor_Dimensi!I4</f>
        <v/>
      </c>
      <c r="G15" s="7" t="str">
        <f>Skor_Dimensi!I5</f>
        <v/>
      </c>
      <c r="H15" s="7" t="str">
        <f>Skor_Dimensi!I6</f>
        <v/>
      </c>
      <c r="I15" s="7" t="str">
        <f>Skor_Dimensi!I7</f>
        <v/>
      </c>
      <c r="J15" s="7" t="str">
        <f>Skor_Dimensi!I8</f>
        <v/>
      </c>
      <c r="K15" s="7" t="str">
        <f>Skor_Dimensi!I9</f>
        <v/>
      </c>
      <c r="L15" s="7" t="str">
        <f>Skor_Dimensi!I10</f>
        <v/>
      </c>
      <c r="M15" s="11" t="str">
        <f>QPI_Inti!I6</f>
        <v/>
      </c>
    </row>
    <row r="16" spans="8:8">
      <c r="B16" s="7" t="str">
        <f>_xlfn.IFERROR(RANK(QPI_Inti!J4,QPI_Inti!E4:Y4,0),"")</f>
        <v/>
      </c>
      <c r="C16" s="8" t="str">
        <f>QPI_Inti!J$3</f>
        <v>Deli</v>
      </c>
      <c r="D16" s="9" t="str">
        <f>QPI_Inti!J4</f>
        <v/>
      </c>
      <c r="E16" s="10" t="str">
        <f>QPI_Inti!J5</f>
        <v/>
      </c>
      <c r="F16" s="7" t="str">
        <f>Skor_Dimensi!J4</f>
        <v/>
      </c>
      <c r="G16" s="7" t="str">
        <f>Skor_Dimensi!J5</f>
        <v/>
      </c>
      <c r="H16" s="7" t="str">
        <f>Skor_Dimensi!J6</f>
        <v/>
      </c>
      <c r="I16" s="7" t="str">
        <f>Skor_Dimensi!J7</f>
        <v/>
      </c>
      <c r="J16" s="7" t="str">
        <f>Skor_Dimensi!J8</f>
        <v/>
      </c>
      <c r="K16" s="7" t="str">
        <f>Skor_Dimensi!J9</f>
        <v/>
      </c>
      <c r="L16" s="7" t="str">
        <f>Skor_Dimensi!J10</f>
        <v/>
      </c>
      <c r="M16" s="11" t="str">
        <f>QPI_Inti!J6</f>
        <v/>
      </c>
    </row>
    <row r="17" spans="8:8">
      <c r="B17" s="7" t="str">
        <f>_xlfn.IFERROR(RANK(QPI_Inti!K4,QPI_Inti!E4:Y4,0),"")</f>
        <v/>
      </c>
      <c r="C17" s="8" t="str">
        <f>QPI_Inti!K$3</f>
        <v>Tuntungan</v>
      </c>
      <c r="D17" s="9" t="str">
        <f>QPI_Inti!K4</f>
        <v/>
      </c>
      <c r="E17" s="10" t="str">
        <f>QPI_Inti!K5</f>
        <v/>
      </c>
      <c r="F17" s="7" t="str">
        <f>Skor_Dimensi!K4</f>
        <v/>
      </c>
      <c r="G17" s="7" t="str">
        <f>Skor_Dimensi!K5</f>
        <v/>
      </c>
      <c r="H17" s="7" t="str">
        <f>Skor_Dimensi!K6</f>
        <v/>
      </c>
      <c r="I17" s="7" t="str">
        <f>Skor_Dimensi!K7</f>
        <v/>
      </c>
      <c r="J17" s="7" t="str">
        <f>Skor_Dimensi!K8</f>
        <v/>
      </c>
      <c r="K17" s="7" t="str">
        <f>Skor_Dimensi!K9</f>
        <v/>
      </c>
      <c r="L17" s="7" t="str">
        <f>Skor_Dimensi!K10</f>
        <v/>
      </c>
      <c r="M17" s="11" t="str">
        <f>QPI_Inti!K6</f>
        <v/>
      </c>
    </row>
    <row r="18" spans="8:8">
      <c r="B18" s="7" t="str">
        <f>_xlfn.IFERROR(RANK(QPI_Inti!L4,QPI_Inti!E4:Y4,0),"")</f>
        <v/>
      </c>
      <c r="C18" s="8" t="str">
        <f>QPI_Inti!L$3</f>
        <v>Selayang</v>
      </c>
      <c r="D18" s="9" t="str">
        <f>QPI_Inti!L4</f>
        <v/>
      </c>
      <c r="E18" s="10" t="str">
        <f>QPI_Inti!L5</f>
        <v/>
      </c>
      <c r="F18" s="7" t="str">
        <f>Skor_Dimensi!L4</f>
        <v/>
      </c>
      <c r="G18" s="7" t="str">
        <f>Skor_Dimensi!L5</f>
        <v/>
      </c>
      <c r="H18" s="7" t="str">
        <f>Skor_Dimensi!L6</f>
        <v/>
      </c>
      <c r="I18" s="7" t="str">
        <f>Skor_Dimensi!L7</f>
        <v/>
      </c>
      <c r="J18" s="7" t="str">
        <f>Skor_Dimensi!L8</f>
        <v/>
      </c>
      <c r="K18" s="7" t="str">
        <f>Skor_Dimensi!L9</f>
        <v/>
      </c>
      <c r="L18" s="7" t="str">
        <f>Skor_Dimensi!L10</f>
        <v/>
      </c>
      <c r="M18" s="11" t="str">
        <f>QPI_Inti!L6</f>
        <v/>
      </c>
    </row>
    <row r="19" spans="8:8">
      <c r="B19" s="7" t="str">
        <f>_xlfn.IFERROR(RANK(QPI_Inti!M4,QPI_Inti!E4:Y4,0),"")</f>
        <v/>
      </c>
      <c r="C19" s="8" t="str">
        <f>QPI_Inti!M$3</f>
        <v>Polonia</v>
      </c>
      <c r="D19" s="9" t="str">
        <f>QPI_Inti!M4</f>
        <v/>
      </c>
      <c r="E19" s="10" t="str">
        <f>QPI_Inti!M5</f>
        <v/>
      </c>
      <c r="F19" s="7" t="str">
        <f>Skor_Dimensi!M4</f>
        <v/>
      </c>
      <c r="G19" s="7" t="str">
        <f>Skor_Dimensi!M5</f>
        <v/>
      </c>
      <c r="H19" s="7" t="str">
        <f>Skor_Dimensi!M6</f>
        <v/>
      </c>
      <c r="I19" s="7" t="str">
        <f>Skor_Dimensi!M7</f>
        <v/>
      </c>
      <c r="J19" s="7" t="str">
        <f>Skor_Dimensi!M8</f>
        <v/>
      </c>
      <c r="K19" s="7" t="str">
        <f>Skor_Dimensi!M9</f>
        <v/>
      </c>
      <c r="L19" s="7" t="str">
        <f>Skor_Dimensi!M10</f>
        <v/>
      </c>
      <c r="M19" s="11" t="str">
        <f>QPI_Inti!M6</f>
        <v/>
      </c>
    </row>
    <row r="20" spans="8:8">
      <c r="B20" s="7" t="str">
        <f>_xlfn.IFERROR(RANK(QPI_Inti!N4,QPI_Inti!E4:Y4,0),"")</f>
        <v/>
      </c>
      <c r="C20" s="8" t="str">
        <f>QPI_Inti!N$3</f>
        <v>Area</v>
      </c>
      <c r="D20" s="9" t="str">
        <f>QPI_Inti!N4</f>
        <v/>
      </c>
      <c r="E20" s="10" t="str">
        <f>QPI_Inti!N5</f>
        <v/>
      </c>
      <c r="F20" s="7" t="str">
        <f>Skor_Dimensi!N4</f>
        <v/>
      </c>
      <c r="G20" s="7" t="str">
        <f>Skor_Dimensi!N5</f>
        <v/>
      </c>
      <c r="H20" s="7" t="str">
        <f>Skor_Dimensi!N6</f>
        <v/>
      </c>
      <c r="I20" s="7" t="str">
        <f>Skor_Dimensi!N7</f>
        <v/>
      </c>
      <c r="J20" s="7" t="str">
        <f>Skor_Dimensi!N8</f>
        <v/>
      </c>
      <c r="K20" s="7" t="str">
        <f>Skor_Dimensi!N9</f>
        <v/>
      </c>
      <c r="L20" s="7" t="str">
        <f>Skor_Dimensi!N10</f>
        <v/>
      </c>
      <c r="M20" s="11" t="str">
        <f>QPI_Inti!N6</f>
        <v/>
      </c>
    </row>
    <row r="21" spans="8:8">
      <c r="B21" s="7" t="str">
        <f>_xlfn.IFERROR(RANK(QPI_Inti!O4,QPI_Inti!E4:Y4,0),"")</f>
        <v/>
      </c>
      <c r="C21" s="8" t="str">
        <f>QPI_Inti!O$3</f>
        <v>Kota</v>
      </c>
      <c r="D21" s="9" t="str">
        <f>QPI_Inti!O4</f>
        <v/>
      </c>
      <c r="E21" s="10" t="str">
        <f>QPI_Inti!O5</f>
        <v/>
      </c>
      <c r="F21" s="7" t="str">
        <f>Skor_Dimensi!O4</f>
        <v/>
      </c>
      <c r="G21" s="7" t="str">
        <f>Skor_Dimensi!O5</f>
        <v/>
      </c>
      <c r="H21" s="7" t="str">
        <f>Skor_Dimensi!O6</f>
        <v/>
      </c>
      <c r="I21" s="7" t="str">
        <f>Skor_Dimensi!O7</f>
        <v/>
      </c>
      <c r="J21" s="7" t="str">
        <f>Skor_Dimensi!O8</f>
        <v/>
      </c>
      <c r="K21" s="7" t="str">
        <f>Skor_Dimensi!O9</f>
        <v/>
      </c>
      <c r="L21" s="7" t="str">
        <f>Skor_Dimensi!O10</f>
        <v/>
      </c>
      <c r="M21" s="11" t="str">
        <f>QPI_Inti!O6</f>
        <v/>
      </c>
    </row>
    <row r="22" spans="8:8">
      <c r="B22" s="7" t="str">
        <f>_xlfn.IFERROR(RANK(QPI_Inti!P4,QPI_Inti!E4:Y4,0),"")</f>
        <v/>
      </c>
      <c r="C22" s="8" t="str">
        <f>QPI_Inti!P$3</f>
        <v>Baru</v>
      </c>
      <c r="D22" s="9" t="str">
        <f>QPI_Inti!P4</f>
        <v/>
      </c>
      <c r="E22" s="10" t="str">
        <f>QPI_Inti!P5</f>
        <v/>
      </c>
      <c r="F22" s="7" t="str">
        <f>Skor_Dimensi!P4</f>
        <v/>
      </c>
      <c r="G22" s="7" t="str">
        <f>Skor_Dimensi!P5</f>
        <v/>
      </c>
      <c r="H22" s="7" t="str">
        <f>Skor_Dimensi!P6</f>
        <v/>
      </c>
      <c r="I22" s="7" t="str">
        <f>Skor_Dimensi!P7</f>
        <v/>
      </c>
      <c r="J22" s="7" t="str">
        <f>Skor_Dimensi!P8</f>
        <v/>
      </c>
      <c r="K22" s="7" t="str">
        <f>Skor_Dimensi!P9</f>
        <v/>
      </c>
      <c r="L22" s="7" t="str">
        <f>Skor_Dimensi!P10</f>
        <v/>
      </c>
      <c r="M22" s="11" t="str">
        <f>QPI_Inti!P6</f>
        <v/>
      </c>
    </row>
    <row r="23" spans="8:8">
      <c r="B23" s="7" t="str">
        <f>_xlfn.IFERROR(RANK(QPI_Inti!Q4,QPI_Inti!E4:Y4,0),"")</f>
        <v/>
      </c>
      <c r="C23" s="8" t="str">
        <f>QPI_Inti!Q$3</f>
        <v>Johor</v>
      </c>
      <c r="D23" s="9" t="str">
        <f>QPI_Inti!Q4</f>
        <v/>
      </c>
      <c r="E23" s="10" t="str">
        <f>QPI_Inti!Q5</f>
        <v/>
      </c>
      <c r="F23" s="7" t="str">
        <f>Skor_Dimensi!Q4</f>
        <v/>
      </c>
      <c r="G23" s="7" t="str">
        <f>Skor_Dimensi!Q5</f>
        <v/>
      </c>
      <c r="H23" s="7" t="str">
        <f>Skor_Dimensi!Q6</f>
        <v/>
      </c>
      <c r="I23" s="7" t="str">
        <f>Skor_Dimensi!Q7</f>
        <v/>
      </c>
      <c r="J23" s="7" t="str">
        <f>Skor_Dimensi!Q8</f>
        <v/>
      </c>
      <c r="K23" s="7" t="str">
        <f>Skor_Dimensi!Q9</f>
        <v/>
      </c>
      <c r="L23" s="7" t="str">
        <f>Skor_Dimensi!Q10</f>
        <v/>
      </c>
      <c r="M23" s="11" t="str">
        <f>QPI_Inti!Q6</f>
        <v/>
      </c>
    </row>
    <row r="24" spans="8:8">
      <c r="B24" s="7" t="str">
        <f>_xlfn.IFERROR(RANK(QPI_Inti!R4,QPI_Inti!E4:Y4,0),"")</f>
        <v/>
      </c>
      <c r="C24" s="8" t="str">
        <f>QPI_Inti!R$3</f>
        <v>Denai</v>
      </c>
      <c r="D24" s="9" t="str">
        <f>QPI_Inti!R4</f>
        <v/>
      </c>
      <c r="E24" s="10" t="str">
        <f>QPI_Inti!R5</f>
        <v/>
      </c>
      <c r="F24" s="7" t="str">
        <f>Skor_Dimensi!R4</f>
        <v/>
      </c>
      <c r="G24" s="7" t="str">
        <f>Skor_Dimensi!R5</f>
        <v/>
      </c>
      <c r="H24" s="7" t="str">
        <f>Skor_Dimensi!R6</f>
        <v/>
      </c>
      <c r="I24" s="7" t="str">
        <f>Skor_Dimensi!R7</f>
        <v/>
      </c>
      <c r="J24" s="7" t="str">
        <f>Skor_Dimensi!R8</f>
        <v/>
      </c>
      <c r="K24" s="7" t="str">
        <f>Skor_Dimensi!R9</f>
        <v/>
      </c>
      <c r="L24" s="7" t="str">
        <f>Skor_Dimensi!R10</f>
        <v/>
      </c>
      <c r="M24" s="11" t="str">
        <f>QPI_Inti!R6</f>
        <v/>
      </c>
    </row>
    <row r="25" spans="8:8">
      <c r="B25" s="7" t="str">
        <f>_xlfn.IFERROR(RANK(QPI_Inti!S4,QPI_Inti!E4:Y4,0),"")</f>
        <v/>
      </c>
      <c r="C25" s="8" t="str">
        <f>QPI_Inti!S$3</f>
        <v>Labuhan</v>
      </c>
      <c r="D25" s="9" t="str">
        <f>QPI_Inti!S4</f>
        <v/>
      </c>
      <c r="E25" s="10" t="str">
        <f>QPI_Inti!S5</f>
        <v/>
      </c>
      <c r="F25" s="7" t="str">
        <f>Skor_Dimensi!S4</f>
        <v/>
      </c>
      <c r="G25" s="7" t="str">
        <f>Skor_Dimensi!S5</f>
        <v/>
      </c>
      <c r="H25" s="7" t="str">
        <f>Skor_Dimensi!S6</f>
        <v/>
      </c>
      <c r="I25" s="7" t="str">
        <f>Skor_Dimensi!S7</f>
        <v/>
      </c>
      <c r="J25" s="7" t="str">
        <f>Skor_Dimensi!S8</f>
        <v/>
      </c>
      <c r="K25" s="7" t="str">
        <f>Skor_Dimensi!S9</f>
        <v/>
      </c>
      <c r="L25" s="7" t="str">
        <f>Skor_Dimensi!S10</f>
        <v/>
      </c>
      <c r="M25" s="11" t="str">
        <f>QPI_Inti!S6</f>
        <v/>
      </c>
    </row>
    <row r="26" spans="8:8">
      <c r="B26" s="7" t="str">
        <f>_xlfn.IFERROR(RANK(QPI_Inti!T4,QPI_Inti!E4:Y4,0),"")</f>
        <v/>
      </c>
      <c r="C26" s="8" t="str">
        <f>QPI_Inti!T$3</f>
        <v>Timur</v>
      </c>
      <c r="D26" s="9" t="str">
        <f>QPI_Inti!T4</f>
        <v/>
      </c>
      <c r="E26" s="10" t="str">
        <f>QPI_Inti!T5</f>
        <v/>
      </c>
      <c r="F26" s="7" t="str">
        <f>Skor_Dimensi!T4</f>
        <v/>
      </c>
      <c r="G26" s="7" t="str">
        <f>Skor_Dimensi!T5</f>
        <v/>
      </c>
      <c r="H26" s="7" t="str">
        <f>Skor_Dimensi!T6</f>
        <v/>
      </c>
      <c r="I26" s="7" t="str">
        <f>Skor_Dimensi!T7</f>
        <v/>
      </c>
      <c r="J26" s="7" t="str">
        <f>Skor_Dimensi!T8</f>
        <v/>
      </c>
      <c r="K26" s="7" t="str">
        <f>Skor_Dimensi!T9</f>
        <v/>
      </c>
      <c r="L26" s="7" t="str">
        <f>Skor_Dimensi!T10</f>
        <v/>
      </c>
      <c r="M26" s="11" t="str">
        <f>QPI_Inti!T6</f>
        <v/>
      </c>
    </row>
    <row r="27" spans="8:8">
      <c r="B27" s="7" t="str">
        <f>_xlfn.IFERROR(RANK(QPI_Inti!U4,QPI_Inti!E4:Y4,0),"")</f>
        <v/>
      </c>
      <c r="C27" s="8" t="str">
        <f>QPI_Inti!U$3</f>
        <v>Barat</v>
      </c>
      <c r="D27" s="9" t="str">
        <f>QPI_Inti!U4</f>
        <v/>
      </c>
      <c r="E27" s="10" t="str">
        <f>QPI_Inti!U5</f>
        <v/>
      </c>
      <c r="F27" s="7" t="str">
        <f>Skor_Dimensi!U4</f>
        <v/>
      </c>
      <c r="G27" s="7" t="str">
        <f>Skor_Dimensi!U5</f>
        <v/>
      </c>
      <c r="H27" s="7" t="str">
        <f>Skor_Dimensi!U6</f>
        <v/>
      </c>
      <c r="I27" s="7" t="str">
        <f>Skor_Dimensi!U7</f>
        <v/>
      </c>
      <c r="J27" s="7" t="str">
        <f>Skor_Dimensi!U8</f>
        <v/>
      </c>
      <c r="K27" s="7" t="str">
        <f>Skor_Dimensi!U9</f>
        <v/>
      </c>
      <c r="L27" s="7" t="str">
        <f>Skor_Dimensi!U10</f>
        <v/>
      </c>
      <c r="M27" s="11" t="str">
        <f>QPI_Inti!U6</f>
        <v/>
      </c>
    </row>
    <row r="28" spans="8:8">
      <c r="B28" s="7" t="str">
        <f>_xlfn.IFERROR(RANK(QPI_Inti!V4,QPI_Inti!E4:Y4,0),"")</f>
        <v/>
      </c>
      <c r="C28" s="8" t="str">
        <f>QPI_Inti!V$3</f>
        <v>Helvetia</v>
      </c>
      <c r="D28" s="9" t="str">
        <f>QPI_Inti!V4</f>
        <v/>
      </c>
      <c r="E28" s="10" t="str">
        <f>QPI_Inti!V5</f>
        <v/>
      </c>
      <c r="F28" s="7" t="str">
        <f>Skor_Dimensi!V4</f>
        <v/>
      </c>
      <c r="G28" s="7" t="str">
        <f>Skor_Dimensi!V5</f>
        <v/>
      </c>
      <c r="H28" s="7" t="str">
        <f>Skor_Dimensi!V6</f>
        <v/>
      </c>
      <c r="I28" s="7" t="str">
        <f>Skor_Dimensi!V7</f>
        <v/>
      </c>
      <c r="J28" s="7" t="str">
        <f>Skor_Dimensi!V8</f>
        <v/>
      </c>
      <c r="K28" s="7" t="str">
        <f>Skor_Dimensi!V9</f>
        <v/>
      </c>
      <c r="L28" s="7" t="str">
        <f>Skor_Dimensi!V10</f>
        <v/>
      </c>
      <c r="M28" s="11" t="str">
        <f>QPI_Inti!V6</f>
        <v/>
      </c>
    </row>
    <row r="29" spans="8:8">
      <c r="B29" s="7" t="str">
        <f>_xlfn.IFERROR(RANK(QPI_Inti!W4,QPI_Inti!E4:Y4,0),"")</f>
        <v/>
      </c>
      <c r="C29" s="8" t="str">
        <f>QPI_Inti!W$3</f>
        <v>Sunggal</v>
      </c>
      <c r="D29" s="9" t="str">
        <f>QPI_Inti!W4</f>
        <v/>
      </c>
      <c r="E29" s="10" t="str">
        <f>QPI_Inti!W5</f>
        <v/>
      </c>
      <c r="F29" s="7" t="str">
        <f>Skor_Dimensi!W4</f>
        <v/>
      </c>
      <c r="G29" s="7" t="str">
        <f>Skor_Dimensi!W5</f>
        <v/>
      </c>
      <c r="H29" s="7" t="str">
        <f>Skor_Dimensi!W6</f>
        <v/>
      </c>
      <c r="I29" s="7" t="str">
        <f>Skor_Dimensi!W7</f>
        <v/>
      </c>
      <c r="J29" s="7" t="str">
        <f>Skor_Dimensi!W8</f>
        <v/>
      </c>
      <c r="K29" s="7" t="str">
        <f>Skor_Dimensi!W9</f>
        <v/>
      </c>
      <c r="L29" s="7" t="str">
        <f>Skor_Dimensi!W10</f>
        <v/>
      </c>
      <c r="M29" s="11" t="str">
        <f>QPI_Inti!W6</f>
        <v/>
      </c>
    </row>
    <row r="30" spans="8:8">
      <c r="B30" s="7" t="str">
        <f>_xlfn.IFERROR(RANK(QPI_Inti!X4,QPI_Inti!E4:Y4,0),"")</f>
        <v/>
      </c>
      <c r="C30" s="8" t="str">
        <f>QPI_Inti!X$3</f>
        <v>Maimun</v>
      </c>
      <c r="D30" s="9" t="str">
        <f>QPI_Inti!X4</f>
        <v/>
      </c>
      <c r="E30" s="10" t="str">
        <f>QPI_Inti!X5</f>
        <v/>
      </c>
      <c r="F30" s="7" t="str">
        <f>Skor_Dimensi!X4</f>
        <v/>
      </c>
      <c r="G30" s="7" t="str">
        <f>Skor_Dimensi!X5</f>
        <v/>
      </c>
      <c r="H30" s="7" t="str">
        <f>Skor_Dimensi!X6</f>
        <v/>
      </c>
      <c r="I30" s="7" t="str">
        <f>Skor_Dimensi!X7</f>
        <v/>
      </c>
      <c r="J30" s="7" t="str">
        <f>Skor_Dimensi!X8</f>
        <v/>
      </c>
      <c r="K30" s="7" t="str">
        <f>Skor_Dimensi!X9</f>
        <v/>
      </c>
      <c r="L30" s="7" t="str">
        <f>Skor_Dimensi!X10</f>
        <v/>
      </c>
      <c r="M30" s="11" t="str">
        <f>QPI_Inti!X6</f>
        <v/>
      </c>
    </row>
    <row r="31" spans="8:8">
      <c r="B31" s="7" t="str">
        <f>_xlfn.IFERROR(RANK(QPI_Inti!Y4,QPI_Inti!E4:Y4,0),"")</f>
        <v/>
      </c>
      <c r="C31" s="8" t="str">
        <f>QPI_Inti!Y$3</f>
        <v>Petisah</v>
      </c>
      <c r="D31" s="9" t="str">
        <f>QPI_Inti!Y4</f>
        <v/>
      </c>
      <c r="E31" s="10" t="str">
        <f>QPI_Inti!Y5</f>
        <v/>
      </c>
      <c r="F31" s="7" t="str">
        <f>Skor_Dimensi!Y4</f>
        <v/>
      </c>
      <c r="G31" s="7" t="str">
        <f>Skor_Dimensi!Y5</f>
        <v/>
      </c>
      <c r="H31" s="7" t="str">
        <f>Skor_Dimensi!Y6</f>
        <v/>
      </c>
      <c r="I31" s="7" t="str">
        <f>Skor_Dimensi!Y7</f>
        <v/>
      </c>
      <c r="J31" s="7" t="str">
        <f>Skor_Dimensi!Y8</f>
        <v/>
      </c>
      <c r="K31" s="7" t="str">
        <f>Skor_Dimensi!Y9</f>
        <v/>
      </c>
      <c r="L31" s="7" t="str">
        <f>Skor_Dimensi!Y10</f>
        <v/>
      </c>
      <c r="M31" s="11" t="str">
        <f>QPI_Inti!Y6</f>
        <v/>
      </c>
    </row>
    <row r="34" spans="8:8">
      <c r="B34" s="12" t="s">
        <v>20</v>
      </c>
      <c r="H34" s="12" t="s">
        <v>21</v>
      </c>
    </row>
    <row r="35" spans="8:8">
      <c r="B35" s="6" t="s">
        <v>22</v>
      </c>
      <c r="C35" s="6" t="s">
        <v>23</v>
      </c>
      <c r="D35" s="6" t="s">
        <v>24</v>
      </c>
      <c r="E35" s="6" t="s">
        <v>25</v>
      </c>
      <c r="F35" s="13"/>
      <c r="H35" s="6" t="s">
        <v>22</v>
      </c>
      <c r="I35" s="6" t="s">
        <v>26</v>
      </c>
      <c r="J35" s="6" t="s">
        <v>24</v>
      </c>
      <c r="K35" s="6" t="s">
        <v>27</v>
      </c>
      <c r="L35" s="6" t="s">
        <v>25</v>
      </c>
    </row>
    <row r="36" spans="8:8" ht="26.0" customHeight="1">
      <c r="B36" s="7">
        <v>1.0</v>
      </c>
      <c r="C36" s="7" t="str">
        <f>_xlfn.IFERROR(INDEX(Master_Item!$D$3:$D$105,MATCH(SMALL(Master_Item!$G$3:$G$105,1),Master_Item!$G$3:$G$105,0)),"")</f>
        <v/>
      </c>
      <c r="D36" s="7" t="str">
        <f>_xlfn.IFERROR(INDEX(Master_Item!$B$3:$B$105,MATCH(SMALL(Master_Item!$G$3:$G$105,1),Master_Item!$G$3:$G$105,0)),"")</f>
        <v/>
      </c>
      <c r="E36" s="9" t="str">
        <f>_xlfn.IFERROR(ROUND(SMALL(Master_Item!$G$3:$G$105,1),1),"")</f>
        <v/>
      </c>
      <c r="F36" s="14" t="str">
        <f>_xlfn.IFERROR(INDEX(Master_Item!$E$3:$E$105,MATCH(SMALL(Master_Item!$G$3:$G$105,1),Master_Item!$G$3:$G$105,0)),"")</f>
        <v/>
      </c>
      <c r="H36" s="7">
        <v>1.0</v>
      </c>
      <c r="I36" s="14" t="str">
        <f>_xlfn.IFERROR(INDEX(Master_SubVar!$D$3:$D$30,MATCH(SMALL(Master_SubVar!$F$3:$F$30,1),Master_SubVar!$F$3:$F$30,0)),"")</f>
        <v/>
      </c>
      <c r="J36" s="7" t="str">
        <f>_xlfn.IFERROR(INDEX(Master_SubVar!$B$3:$B$30,MATCH(SMALL(Master_SubVar!$F$3:$F$30,1),Master_SubVar!$F$3:$F$30,0)),"")</f>
        <v/>
      </c>
      <c r="K36" s="7" t="str">
        <f>_xlfn.IFERROR(INDEX(Master_SubVar!$C$3:$C$30,MATCH(SMALL(Master_SubVar!$F$3:$F$30,1),Master_SubVar!$F$3:$F$30,0)),"")</f>
        <v/>
      </c>
      <c r="L36" s="9" t="str">
        <f>_xlfn.IFERROR(ROUND(SMALL(Master_SubVar!$F$3:$F$30,1),1),"")</f>
        <v/>
      </c>
    </row>
    <row r="37" spans="8:8" ht="26.0" customHeight="1">
      <c r="B37" s="7">
        <v>2.0</v>
      </c>
      <c r="C37" s="7" t="str">
        <f>_xlfn.IFERROR(INDEX(Master_Item!$D$3:$D$105,MATCH(SMALL(Master_Item!$G$3:$G$105,2),Master_Item!$G$3:$G$105,0)),"")</f>
        <v/>
      </c>
      <c r="D37" s="7" t="str">
        <f>_xlfn.IFERROR(INDEX(Master_Item!$B$3:$B$105,MATCH(SMALL(Master_Item!$G$3:$G$105,2),Master_Item!$G$3:$G$105,0)),"")</f>
        <v/>
      </c>
      <c r="E37" s="9" t="str">
        <f>_xlfn.IFERROR(ROUND(SMALL(Master_Item!$G$3:$G$105,2),1),"")</f>
        <v/>
      </c>
      <c r="F37" s="14" t="str">
        <f>_xlfn.IFERROR(INDEX(Master_Item!$E$3:$E$105,MATCH(SMALL(Master_Item!$G$3:$G$105,2),Master_Item!$G$3:$G$105,0)),"")</f>
        <v/>
      </c>
      <c r="H37" s="7">
        <v>2.0</v>
      </c>
      <c r="I37" s="14" t="str">
        <f>_xlfn.IFERROR(INDEX(Master_SubVar!$D$3:$D$30,MATCH(SMALL(Master_SubVar!$F$3:$F$30,2),Master_SubVar!$F$3:$F$30,0)),"")</f>
        <v/>
      </c>
      <c r="J37" s="7" t="str">
        <f>_xlfn.IFERROR(INDEX(Master_SubVar!$B$3:$B$30,MATCH(SMALL(Master_SubVar!$F$3:$F$30,2),Master_SubVar!$F$3:$F$30,0)),"")</f>
        <v/>
      </c>
      <c r="K37" s="7" t="str">
        <f>_xlfn.IFERROR(INDEX(Master_SubVar!$C$3:$C$30,MATCH(SMALL(Master_SubVar!$F$3:$F$30,2),Master_SubVar!$F$3:$F$30,0)),"")</f>
        <v/>
      </c>
      <c r="L37" s="9" t="str">
        <f>_xlfn.IFERROR(ROUND(SMALL(Master_SubVar!$F$3:$F$30,2),1),"")</f>
        <v/>
      </c>
    </row>
    <row r="38" spans="8:8" ht="26.0" customHeight="1">
      <c r="B38" s="7">
        <v>3.0</v>
      </c>
      <c r="C38" s="7" t="str">
        <f>_xlfn.IFERROR(INDEX(Master_Item!$D$3:$D$105,MATCH(SMALL(Master_Item!$G$3:$G$105,3),Master_Item!$G$3:$G$105,0)),"")</f>
        <v/>
      </c>
      <c r="D38" s="7" t="str">
        <f>_xlfn.IFERROR(INDEX(Master_Item!$B$3:$B$105,MATCH(SMALL(Master_Item!$G$3:$G$105,3),Master_Item!$G$3:$G$105,0)),"")</f>
        <v/>
      </c>
      <c r="E38" s="9" t="str">
        <f>_xlfn.IFERROR(ROUND(SMALL(Master_Item!$G$3:$G$105,3),1),"")</f>
        <v/>
      </c>
      <c r="F38" s="14" t="str">
        <f>_xlfn.IFERROR(INDEX(Master_Item!$E$3:$E$105,MATCH(SMALL(Master_Item!$G$3:$G$105,3),Master_Item!$G$3:$G$105,0)),"")</f>
        <v/>
      </c>
      <c r="H38" s="7">
        <v>3.0</v>
      </c>
      <c r="I38" s="14" t="str">
        <f>_xlfn.IFERROR(INDEX(Master_SubVar!$D$3:$D$30,MATCH(SMALL(Master_SubVar!$F$3:$F$30,3),Master_SubVar!$F$3:$F$30,0)),"")</f>
        <v/>
      </c>
      <c r="J38" s="7" t="str">
        <f>_xlfn.IFERROR(INDEX(Master_SubVar!$B$3:$B$30,MATCH(SMALL(Master_SubVar!$F$3:$F$30,3),Master_SubVar!$F$3:$F$30,0)),"")</f>
        <v/>
      </c>
      <c r="K38" s="7" t="str">
        <f>_xlfn.IFERROR(INDEX(Master_SubVar!$C$3:$C$30,MATCH(SMALL(Master_SubVar!$F$3:$F$30,3),Master_SubVar!$F$3:$F$30,0)),"")</f>
        <v/>
      </c>
      <c r="L38" s="9" t="str">
        <f>_xlfn.IFERROR(ROUND(SMALL(Master_SubVar!$F$3:$F$30,3),1),"")</f>
        <v/>
      </c>
    </row>
    <row r="39" spans="8:8" ht="26.0" customHeight="1">
      <c r="B39" s="7">
        <v>4.0</v>
      </c>
      <c r="C39" s="7" t="str">
        <f>_xlfn.IFERROR(INDEX(Master_Item!$D$3:$D$105,MATCH(SMALL(Master_Item!$G$3:$G$105,4),Master_Item!$G$3:$G$105,0)),"")</f>
        <v/>
      </c>
      <c r="D39" s="7" t="str">
        <f>_xlfn.IFERROR(INDEX(Master_Item!$B$3:$B$105,MATCH(SMALL(Master_Item!$G$3:$G$105,4),Master_Item!$G$3:$G$105,0)),"")</f>
        <v/>
      </c>
      <c r="E39" s="9" t="str">
        <f>_xlfn.IFERROR(ROUND(SMALL(Master_Item!$G$3:$G$105,4),1),"")</f>
        <v/>
      </c>
      <c r="F39" s="14" t="str">
        <f>_xlfn.IFERROR(INDEX(Master_Item!$E$3:$E$105,MATCH(SMALL(Master_Item!$G$3:$G$105,4),Master_Item!$G$3:$G$105,0)),"")</f>
        <v/>
      </c>
      <c r="H39" s="7">
        <v>4.0</v>
      </c>
      <c r="I39" s="14" t="str">
        <f>_xlfn.IFERROR(INDEX(Master_SubVar!$D$3:$D$30,MATCH(SMALL(Master_SubVar!$F$3:$F$30,4),Master_SubVar!$F$3:$F$30,0)),"")</f>
        <v/>
      </c>
      <c r="J39" s="7" t="str">
        <f>_xlfn.IFERROR(INDEX(Master_SubVar!$B$3:$B$30,MATCH(SMALL(Master_SubVar!$F$3:$F$30,4),Master_SubVar!$F$3:$F$30,0)),"")</f>
        <v/>
      </c>
      <c r="K39" s="7" t="str">
        <f>_xlfn.IFERROR(INDEX(Master_SubVar!$C$3:$C$30,MATCH(SMALL(Master_SubVar!$F$3:$F$30,4),Master_SubVar!$F$3:$F$30,0)),"")</f>
        <v/>
      </c>
      <c r="L39" s="9" t="str">
        <f>_xlfn.IFERROR(ROUND(SMALL(Master_SubVar!$F$3:$F$30,4),1),"")</f>
        <v/>
      </c>
    </row>
    <row r="40" spans="8:8" ht="26.0" customHeight="1">
      <c r="B40" s="7">
        <v>5.0</v>
      </c>
      <c r="C40" s="7" t="str">
        <f>_xlfn.IFERROR(INDEX(Master_Item!$D$3:$D$105,MATCH(SMALL(Master_Item!$G$3:$G$105,5),Master_Item!$G$3:$G$105,0)),"")</f>
        <v/>
      </c>
      <c r="D40" s="7" t="str">
        <f>_xlfn.IFERROR(INDEX(Master_Item!$B$3:$B$105,MATCH(SMALL(Master_Item!$G$3:$G$105,5),Master_Item!$G$3:$G$105,0)),"")</f>
        <v/>
      </c>
      <c r="E40" s="9" t="str">
        <f>_xlfn.IFERROR(ROUND(SMALL(Master_Item!$G$3:$G$105,5),1),"")</f>
        <v/>
      </c>
      <c r="F40" s="14" t="str">
        <f>_xlfn.IFERROR(INDEX(Master_Item!$E$3:$E$105,MATCH(SMALL(Master_Item!$G$3:$G$105,5),Master_Item!$G$3:$G$105,0)),"")</f>
        <v/>
      </c>
      <c r="H40" s="7">
        <v>5.0</v>
      </c>
      <c r="I40" s="14" t="str">
        <f>_xlfn.IFERROR(INDEX(Master_SubVar!$D$3:$D$30,MATCH(SMALL(Master_SubVar!$F$3:$F$30,5),Master_SubVar!$F$3:$F$30,0)),"")</f>
        <v/>
      </c>
      <c r="J40" s="7" t="str">
        <f>_xlfn.IFERROR(INDEX(Master_SubVar!$B$3:$B$30,MATCH(SMALL(Master_SubVar!$F$3:$F$30,5),Master_SubVar!$F$3:$F$30,0)),"")</f>
        <v/>
      </c>
      <c r="K40" s="7" t="str">
        <f>_xlfn.IFERROR(INDEX(Master_SubVar!$C$3:$C$30,MATCH(SMALL(Master_SubVar!$F$3:$F$30,5),Master_SubVar!$F$3:$F$30,0)),"")</f>
        <v/>
      </c>
      <c r="L40" s="9" t="str">
        <f>_xlfn.IFERROR(ROUND(SMALL(Master_SubVar!$F$3:$F$30,5),1),"")</f>
        <v/>
      </c>
    </row>
    <row r="41" spans="8:8" ht="26.0" customHeight="1">
      <c r="B41" s="7">
        <v>6.0</v>
      </c>
      <c r="C41" s="7" t="str">
        <f>_xlfn.IFERROR(INDEX(Master_Item!$D$3:$D$105,MATCH(SMALL(Master_Item!$G$3:$G$105,6),Master_Item!$G$3:$G$105,0)),"")</f>
        <v/>
      </c>
      <c r="D41" s="7" t="str">
        <f>_xlfn.IFERROR(INDEX(Master_Item!$B$3:$B$105,MATCH(SMALL(Master_Item!$G$3:$G$105,6),Master_Item!$G$3:$G$105,0)),"")</f>
        <v/>
      </c>
      <c r="E41" s="9" t="str">
        <f>_xlfn.IFERROR(ROUND(SMALL(Master_Item!$G$3:$G$105,6),1),"")</f>
        <v/>
      </c>
      <c r="F41" s="14" t="str">
        <f>_xlfn.IFERROR(INDEX(Master_Item!$E$3:$E$105,MATCH(SMALL(Master_Item!$G$3:$G$105,6),Master_Item!$G$3:$G$105,0)),"")</f>
        <v/>
      </c>
    </row>
    <row r="42" spans="8:8" ht="26.0" customHeight="1">
      <c r="B42" s="7">
        <v>7.0</v>
      </c>
      <c r="C42" s="7" t="str">
        <f>_xlfn.IFERROR(INDEX(Master_Item!$D$3:$D$105,MATCH(SMALL(Master_Item!$G$3:$G$105,7),Master_Item!$G$3:$G$105,0)),"")</f>
        <v/>
      </c>
      <c r="D42" s="7" t="str">
        <f>_xlfn.IFERROR(INDEX(Master_Item!$B$3:$B$105,MATCH(SMALL(Master_Item!$G$3:$G$105,7),Master_Item!$G$3:$G$105,0)),"")</f>
        <v/>
      </c>
      <c r="E42" s="9" t="str">
        <f>_xlfn.IFERROR(ROUND(SMALL(Master_Item!$G$3:$G$105,7),1),"")</f>
        <v/>
      </c>
      <c r="F42" s="14" t="str">
        <f>_xlfn.IFERROR(INDEX(Master_Item!$E$3:$E$105,MATCH(SMALL(Master_Item!$G$3:$G$105,7),Master_Item!$G$3:$G$105,0)),"")</f>
        <v/>
      </c>
    </row>
    <row r="43" spans="8:8" ht="26.0" customHeight="1">
      <c r="B43" s="7">
        <v>8.0</v>
      </c>
      <c r="C43" s="7" t="str">
        <f>_xlfn.IFERROR(INDEX(Master_Item!$D$3:$D$105,MATCH(SMALL(Master_Item!$G$3:$G$105,8),Master_Item!$G$3:$G$105,0)),"")</f>
        <v/>
      </c>
      <c r="D43" s="7" t="str">
        <f>_xlfn.IFERROR(INDEX(Master_Item!$B$3:$B$105,MATCH(SMALL(Master_Item!$G$3:$G$105,8),Master_Item!$G$3:$G$105,0)),"")</f>
        <v/>
      </c>
      <c r="E43" s="9" t="str">
        <f>_xlfn.IFERROR(ROUND(SMALL(Master_Item!$G$3:$G$105,8),1),"")</f>
        <v/>
      </c>
      <c r="F43" s="14" t="str">
        <f>_xlfn.IFERROR(INDEX(Master_Item!$E$3:$E$105,MATCH(SMALL(Master_Item!$G$3:$G$105,8),Master_Item!$G$3:$G$105,0)),"")</f>
        <v/>
      </c>
    </row>
    <row r="44" spans="8:8" ht="26.0" customHeight="1">
      <c r="B44" s="7">
        <v>9.0</v>
      </c>
      <c r="C44" s="7" t="str">
        <f>_xlfn.IFERROR(INDEX(Master_Item!$D$3:$D$105,MATCH(SMALL(Master_Item!$G$3:$G$105,9),Master_Item!$G$3:$G$105,0)),"")</f>
        <v/>
      </c>
      <c r="D44" s="7" t="str">
        <f>_xlfn.IFERROR(INDEX(Master_Item!$B$3:$B$105,MATCH(SMALL(Master_Item!$G$3:$G$105,9),Master_Item!$G$3:$G$105,0)),"")</f>
        <v/>
      </c>
      <c r="E44" s="9" t="str">
        <f>_xlfn.IFERROR(ROUND(SMALL(Master_Item!$G$3:$G$105,9),1),"")</f>
        <v/>
      </c>
      <c r="F44" s="14" t="str">
        <f>_xlfn.IFERROR(INDEX(Master_Item!$E$3:$E$105,MATCH(SMALL(Master_Item!$G$3:$G$105,9),Master_Item!$G$3:$G$105,0)),"")</f>
        <v/>
      </c>
    </row>
    <row r="45" spans="8:8" ht="26.0" customHeight="1">
      <c r="B45" s="7">
        <v>10.0</v>
      </c>
      <c r="C45" s="7" t="str">
        <f>_xlfn.IFERROR(INDEX(Master_Item!$D$3:$D$105,MATCH(SMALL(Master_Item!$G$3:$G$105,10),Master_Item!$G$3:$G$105,0)),"")</f>
        <v/>
      </c>
      <c r="D45" s="7" t="str">
        <f>_xlfn.IFERROR(INDEX(Master_Item!$B$3:$B$105,MATCH(SMALL(Master_Item!$G$3:$G$105,10),Master_Item!$G$3:$G$105,0)),"")</f>
        <v/>
      </c>
      <c r="E45" s="9" t="str">
        <f>_xlfn.IFERROR(ROUND(SMALL(Master_Item!$G$3:$G$105,10),1),"")</f>
        <v/>
      </c>
      <c r="F45" s="14" t="str">
        <f>_xlfn.IFERROR(INDEX(Master_Item!$E$3:$E$105,MATCH(SMALL(Master_Item!$G$3:$G$105,10),Master_Item!$G$3:$G$105,0)),"")</f>
        <v/>
      </c>
    </row>
    <row r="47" spans="8:8">
      <c r="B47" s="15" t="s">
        <v>28</v>
      </c>
    </row>
  </sheetData>
  <mergeCells count="27">
    <mergeCell ref="B2:M2"/>
    <mergeCell ref="K6:L6"/>
    <mergeCell ref="G6:H6"/>
    <mergeCell ref="E5:F5"/>
    <mergeCell ref="B6:C6"/>
    <mergeCell ref="B3:M3"/>
    <mergeCell ref="B5:C5"/>
    <mergeCell ref="E6:F6"/>
    <mergeCell ref="E35:F35"/>
    <mergeCell ref="F43:F43"/>
    <mergeCell ref="B9:M9"/>
    <mergeCell ref="I5:J5"/>
    <mergeCell ref="G5:H5"/>
    <mergeCell ref="K5:L5"/>
    <mergeCell ref="I6:J6"/>
    <mergeCell ref="B34:F34"/>
    <mergeCell ref="F44:F44"/>
    <mergeCell ref="F38:F38"/>
    <mergeCell ref="H34:M34"/>
    <mergeCell ref="F45:F45"/>
    <mergeCell ref="F36:F36"/>
    <mergeCell ref="F41:F41"/>
    <mergeCell ref="F42:F42"/>
    <mergeCell ref="F37:F37"/>
    <mergeCell ref="F39:F39"/>
    <mergeCell ref="F40:F40"/>
    <mergeCell ref="B47:M47"/>
  </mergeCells>
  <conditionalFormatting sqref="E45">
    <cfRule type="colorScale" priority="18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39">
    <cfRule type="colorScale" priority="1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K11:K31">
    <cfRule type="colorScale" priority="7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2">
    <cfRule type="colorScale" priority="15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1">
    <cfRule type="colorScale" priority="14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G11:G31">
    <cfRule type="colorScale" priority="3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37">
    <cfRule type="colorScale" priority="10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L40">
    <cfRule type="colorScale" priority="23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L39">
    <cfRule type="colorScale" priority="2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H11:H31">
    <cfRule type="colorScale" priority="4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I11:I31">
    <cfRule type="colorScale" priority="5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36">
    <cfRule type="colorScale" priority="9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4">
    <cfRule type="colorScale" priority="17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F11:F31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L36">
    <cfRule type="colorScale" priority="19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L37">
    <cfRule type="colorScale" priority="20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0">
    <cfRule type="colorScale" priority="13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L38">
    <cfRule type="colorScale" priority="2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38">
    <cfRule type="colorScale" priority="1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D11:D31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J11:J31">
    <cfRule type="colorScale" priority="6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3">
    <cfRule type="colorScale" priority="16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L11:L31">
    <cfRule type="colorScale" priority="8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B1:C33"/>
  <sheetViews>
    <sheetView workbookViewId="0" showGridLines="0" zoomScale="90">
      <selection activeCell="A1" sqref="A1"/>
    </sheetView>
  </sheetViews>
  <sheetFormatPr defaultRowHeight="15.0" defaultColWidth="10"/>
  <cols>
    <col min="1" max="1" customWidth="1" width="3.0" style="0"/>
    <col min="2" max="2" customWidth="1" width="110.0" style="0"/>
  </cols>
  <sheetData>
    <row r="2" spans="8:8" ht="28.0" customHeight="1">
      <c r="B2" s="1" t="s">
        <v>462</v>
      </c>
    </row>
    <row r="4" spans="8:8">
      <c r="B4" s="16" t="s">
        <v>463</v>
      </c>
    </row>
    <row r="5" spans="8:8" ht="30.0" customHeight="1">
      <c r="B5" s="17" t="s">
        <v>464</v>
      </c>
    </row>
    <row r="6" spans="8:8" ht="30.0" customHeight="1">
      <c r="B6" s="17" t="s">
        <v>465</v>
      </c>
    </row>
    <row r="7" spans="8:8" ht="30.0" customHeight="1">
      <c r="B7" s="17" t="s">
        <v>466</v>
      </c>
    </row>
    <row r="8" spans="8:8" ht="30.0" customHeight="1">
      <c r="B8" s="17" t="s">
        <v>467</v>
      </c>
    </row>
    <row r="9" spans="8:8" ht="30.0" customHeight="1">
      <c r="B9" s="17" t="s">
        <v>468</v>
      </c>
    </row>
    <row r="10" spans="8:8" ht="30.0" customHeight="1">
      <c r="B10" s="17" t="s">
        <v>469</v>
      </c>
    </row>
    <row r="11" spans="8:8">
      <c r="B11"/>
    </row>
    <row r="12" spans="8:8">
      <c r="B12" s="16" t="s">
        <v>470</v>
      </c>
    </row>
    <row r="13" spans="8:8" ht="30.0" customHeight="1">
      <c r="B13" s="17" t="s">
        <v>471</v>
      </c>
    </row>
    <row r="14" spans="8:8">
      <c r="B14"/>
    </row>
    <row r="15" spans="8:8">
      <c r="B15" s="16" t="s">
        <v>472</v>
      </c>
    </row>
    <row r="16" spans="8:8" ht="30.0" customHeight="1">
      <c r="B16" s="17" t="s">
        <v>473</v>
      </c>
    </row>
    <row r="17" spans="8:8">
      <c r="B17"/>
    </row>
    <row r="18" spans="8:8">
      <c r="B18" s="16" t="s">
        <v>474</v>
      </c>
    </row>
    <row r="19" spans="8:8" ht="30.0" customHeight="1">
      <c r="B19" s="17" t="s">
        <v>475</v>
      </c>
    </row>
    <row r="20" spans="8:8" ht="30.0" customHeight="1">
      <c r="B20" s="17" t="s">
        <v>476</v>
      </c>
    </row>
    <row r="21" spans="8:8" ht="30.0" customHeight="1">
      <c r="B21" s="17" t="s">
        <v>477</v>
      </c>
    </row>
    <row r="22" spans="8:8" ht="30.0" customHeight="1">
      <c r="B22" s="17" t="s">
        <v>478</v>
      </c>
    </row>
    <row r="23" spans="8:8" ht="30.0" customHeight="1">
      <c r="B23" s="17" t="s">
        <v>479</v>
      </c>
    </row>
    <row r="24" spans="8:8" ht="30.0" customHeight="1">
      <c r="B24" s="17" t="s">
        <v>480</v>
      </c>
    </row>
    <row r="25" spans="8:8" ht="30.0" customHeight="1">
      <c r="B25" s="17" t="s">
        <v>481</v>
      </c>
    </row>
    <row r="26" spans="8:8">
      <c r="B26"/>
    </row>
    <row r="27" spans="8:8">
      <c r="B27" s="16" t="s">
        <v>482</v>
      </c>
    </row>
    <row r="28" spans="8:8" ht="30.0" customHeight="1">
      <c r="B28" s="17" t="s">
        <v>483</v>
      </c>
    </row>
    <row r="29" spans="8:8">
      <c r="B29"/>
    </row>
    <row r="30" spans="8:8">
      <c r="B30" s="16" t="s">
        <v>484</v>
      </c>
    </row>
    <row r="31" spans="8:8" ht="30.0" customHeight="1">
      <c r="B31" s="17" t="s">
        <v>485</v>
      </c>
    </row>
    <row r="32" spans="8:8" ht="30.0" customHeight="1">
      <c r="B32" s="17" t="s">
        <v>486</v>
      </c>
    </row>
    <row r="33" spans="8:8" ht="30.0" customHeight="1">
      <c r="B33" s="17" t="s">
        <v>487</v>
      </c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E49"/>
  <sheetViews>
    <sheetView workbookViewId="0" showGridLines="0" zoomScale="90">
      <selection activeCell="A1" sqref="A1:D1"/>
    </sheetView>
  </sheetViews>
  <sheetFormatPr defaultRowHeight="15.0" defaultColWidth="10"/>
  <cols>
    <col min="1" max="1" customWidth="1" width="3.0" style="0"/>
    <col min="2" max="2" customWidth="1" width="40.0" style="0"/>
    <col min="3" max="3" customWidth="1" width="16.0" style="0"/>
    <col min="4" max="4" customWidth="1" width="55.0" style="0"/>
  </cols>
  <sheetData>
    <row r="1" spans="8:8" ht="26.0" customHeight="1">
      <c r="A1" s="1" t="s">
        <v>1093</v>
      </c>
    </row>
    <row r="3" spans="8:8">
      <c r="B3" s="18" t="s">
        <v>1094</v>
      </c>
    </row>
    <row r="4" spans="8:8">
      <c r="B4" s="19" t="s">
        <v>1095</v>
      </c>
      <c r="C4" s="20">
        <v>0.2619047619</v>
      </c>
    </row>
    <row r="5" spans="8:8">
      <c r="B5" s="19" t="s">
        <v>1096</v>
      </c>
      <c r="C5" s="20">
        <v>0.1428571429</v>
      </c>
    </row>
    <row r="6" spans="8:8">
      <c r="B6" s="19" t="s">
        <v>457</v>
      </c>
      <c r="C6" s="20">
        <v>0.2619047619</v>
      </c>
    </row>
    <row r="7" spans="8:8">
      <c r="B7" s="19" t="s">
        <v>458</v>
      </c>
      <c r="C7" s="20">
        <v>0.2619047619</v>
      </c>
    </row>
    <row r="8" spans="8:8">
      <c r="B8" s="19" t="s">
        <v>459</v>
      </c>
      <c r="C8" s="20">
        <v>0.0714285714</v>
      </c>
    </row>
    <row r="9" spans="8:8">
      <c r="B9" s="21" t="s">
        <v>1097</v>
      </c>
      <c r="C9" s="22">
        <f>SUM(C4:C8)</f>
        <v>1.0</v>
      </c>
    </row>
    <row r="11" spans="8:8">
      <c r="B11" s="18" t="s">
        <v>1098</v>
      </c>
    </row>
    <row r="12" spans="8:8">
      <c r="B12" s="19" t="s">
        <v>1099</v>
      </c>
      <c r="C12" s="9">
        <v>85.0</v>
      </c>
    </row>
    <row r="13" spans="8:8">
      <c r="B13" s="19" t="s">
        <v>1100</v>
      </c>
      <c r="C13" s="9">
        <v>75.0</v>
      </c>
    </row>
    <row r="14" spans="8:8">
      <c r="B14" s="19" t="s">
        <v>1101</v>
      </c>
      <c r="C14" s="9">
        <v>65.0</v>
      </c>
    </row>
    <row r="15" spans="8:8">
      <c r="B15" s="19" t="s">
        <v>1102</v>
      </c>
      <c r="C15" s="9">
        <v>50.0</v>
      </c>
    </row>
    <row r="16" spans="8:8">
      <c r="B16" s="19" t="s">
        <v>1103</v>
      </c>
      <c r="C16" s="9"/>
    </row>
    <row r="17" spans="8:8">
      <c r="B17" s="19" t="s">
        <v>1104</v>
      </c>
      <c r="C17" s="9">
        <v>50.0</v>
      </c>
      <c r="D17" s="23" t="s">
        <v>1105</v>
      </c>
    </row>
    <row r="19" spans="8:8">
      <c r="B19" s="18" t="s">
        <v>1106</v>
      </c>
    </row>
    <row r="20" spans="8:8">
      <c r="B20" s="24">
        <v>1.0</v>
      </c>
      <c r="C20" s="25" t="s">
        <v>1107</v>
      </c>
    </row>
    <row r="21" spans="8:8">
      <c r="B21" s="24">
        <v>2.0</v>
      </c>
      <c r="C21" s="25" t="s">
        <v>1108</v>
      </c>
    </row>
    <row r="22" spans="8:8">
      <c r="B22" s="24">
        <v>3.0</v>
      </c>
      <c r="C22" s="25" t="s">
        <v>1109</v>
      </c>
    </row>
    <row r="23" spans="8:8">
      <c r="B23" s="24">
        <v>4.0</v>
      </c>
      <c r="C23" s="25" t="s">
        <v>1110</v>
      </c>
    </row>
    <row r="24" spans="8:8">
      <c r="B24" s="24">
        <v>5.0</v>
      </c>
      <c r="C24" s="25" t="s">
        <v>1111</v>
      </c>
    </row>
    <row r="25" spans="8:8">
      <c r="B25" s="24">
        <v>6.0</v>
      </c>
      <c r="C25" s="25" t="s">
        <v>1112</v>
      </c>
    </row>
    <row r="26" spans="8:8">
      <c r="B26" s="24">
        <v>7.0</v>
      </c>
      <c r="C26" s="25" t="s">
        <v>1113</v>
      </c>
    </row>
    <row r="27" spans="8:8">
      <c r="B27" s="24">
        <v>8.0</v>
      </c>
      <c r="C27" s="25" t="s">
        <v>1114</v>
      </c>
    </row>
    <row r="28" spans="8:8">
      <c r="B28" s="24">
        <v>9.0</v>
      </c>
      <c r="C28" s="25" t="s">
        <v>1115</v>
      </c>
    </row>
    <row r="29" spans="8:8">
      <c r="B29" s="24">
        <v>10.0</v>
      </c>
      <c r="C29" s="25" t="s">
        <v>1116</v>
      </c>
    </row>
    <row r="30" spans="8:8">
      <c r="B30" s="24">
        <v>11.0</v>
      </c>
      <c r="C30" s="25" t="s">
        <v>1117</v>
      </c>
    </row>
    <row r="31" spans="8:8">
      <c r="B31" s="24">
        <v>12.0</v>
      </c>
      <c r="C31" s="25" t="s">
        <v>1118</v>
      </c>
    </row>
    <row r="32" spans="8:8">
      <c r="B32" s="24">
        <v>13.0</v>
      </c>
      <c r="C32" s="25" t="s">
        <v>1119</v>
      </c>
    </row>
    <row r="33" spans="8:8">
      <c r="B33" s="24">
        <v>14.0</v>
      </c>
      <c r="C33" s="25" t="s">
        <v>1120</v>
      </c>
    </row>
    <row r="34" spans="8:8">
      <c r="B34" s="24">
        <v>15.0</v>
      </c>
      <c r="C34" s="25" t="s">
        <v>1121</v>
      </c>
    </row>
    <row r="35" spans="8:8">
      <c r="B35" s="24">
        <v>16.0</v>
      </c>
      <c r="C35" s="25" t="s">
        <v>1122</v>
      </c>
    </row>
    <row r="36" spans="8:8">
      <c r="B36" s="24">
        <v>17.0</v>
      </c>
      <c r="C36" s="25" t="s">
        <v>1123</v>
      </c>
    </row>
    <row r="37" spans="8:8">
      <c r="B37" s="24">
        <v>18.0</v>
      </c>
      <c r="C37" s="25" t="s">
        <v>1124</v>
      </c>
    </row>
    <row r="38" spans="8:8">
      <c r="B38" s="24">
        <v>19.0</v>
      </c>
      <c r="C38" s="25" t="s">
        <v>1125</v>
      </c>
    </row>
    <row r="39" spans="8:8">
      <c r="B39" s="24">
        <v>20.0</v>
      </c>
      <c r="C39" s="25" t="s">
        <v>1126</v>
      </c>
    </row>
    <row r="40" spans="8:8">
      <c r="B40" s="24">
        <v>21.0</v>
      </c>
      <c r="C40" s="25" t="s">
        <v>1127</v>
      </c>
    </row>
    <row r="42" spans="8:8">
      <c r="B42" s="18" t="s">
        <v>1128</v>
      </c>
    </row>
    <row r="43" spans="8:8">
      <c r="B43" s="26" t="s">
        <v>1129</v>
      </c>
    </row>
    <row r="44" spans="8:8">
      <c r="B44" s="26" t="s">
        <v>1130</v>
      </c>
    </row>
    <row r="45" spans="8:8">
      <c r="B45" s="26" t="s">
        <v>1131</v>
      </c>
    </row>
    <row r="46" spans="8:8">
      <c r="B46" s="26" t="s">
        <v>1132</v>
      </c>
    </row>
    <row r="47" spans="8:8">
      <c r="B47" s="26" t="s">
        <v>1133</v>
      </c>
    </row>
    <row r="48" spans="8:8">
      <c r="B48" s="26" t="s">
        <v>1134</v>
      </c>
    </row>
    <row r="49" spans="8:8">
      <c r="B49" s="26" t="s">
        <v>1135</v>
      </c>
    </row>
  </sheetData>
  <mergeCells count="12">
    <mergeCell ref="A1:D1"/>
    <mergeCell ref="B11:D11"/>
    <mergeCell ref="B3:D3"/>
    <mergeCell ref="B47:D47"/>
    <mergeCell ref="B49:D49"/>
    <mergeCell ref="B19:D19"/>
    <mergeCell ref="B43:D43"/>
    <mergeCell ref="B44:D44"/>
    <mergeCell ref="B46:D46"/>
    <mergeCell ref="B45:D45"/>
    <mergeCell ref="B42:D42"/>
    <mergeCell ref="B48:D48"/>
  </mergeCells>
  <conditionalFormatting sqref="C9">
    <cfRule type="expression" priority="1" dxfId="0">
      <formula>ROUND(C9,4)&lt;&gt;1</formula>
    </cfRule>
  </conditionalFormatting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AA164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62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8.0" customHeight="1">
      <c r="A1" s="1" t="s">
        <v>744</v>
      </c>
    </row>
    <row r="2" spans="8:8">
      <c r="A2" s="2" t="s">
        <v>745</v>
      </c>
    </row>
    <row r="3" spans="8:8" ht="30.0" customHeight="1">
      <c r="A3" s="6" t="s">
        <v>31</v>
      </c>
      <c r="B3" s="6" t="s">
        <v>23</v>
      </c>
      <c r="C3" s="6" t="s">
        <v>32</v>
      </c>
      <c r="D3" s="6" t="s">
        <v>33</v>
      </c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0.0" customHeight="1">
      <c r="A4" s="18" t="s">
        <v>746</v>
      </c>
    </row>
    <row r="5" spans="8:8" ht="28.0" customHeight="1">
      <c r="A5" s="28"/>
      <c r="B5" s="29" t="s">
        <v>747</v>
      </c>
      <c r="C5" s="30" t="s">
        <v>748</v>
      </c>
      <c r="D5" s="29">
        <v>4.0</v>
      </c>
      <c r="E5" s="31" t="str">
        <f>IF(COUNTA(E6:E10)=0,"",COUNTIF(E6:E10,"Ya")/5*100)</f>
        <v/>
      </c>
      <c r="F5" s="31" t="str">
        <f>IF(COUNTA(F6:F10)=0,"",COUNTIF(F6:F10,"Ya")/5*100)</f>
        <v/>
      </c>
      <c r="G5" s="31" t="str">
        <f>IF(COUNTA(G6:G10)=0,"",COUNTIF(G6:G10,"Ya")/5*100)</f>
        <v/>
      </c>
      <c r="H5" s="31" t="str">
        <f>IF(COUNTA(H6:H10)=0,"",COUNTIF(H6:H10,"Ya")/5*100)</f>
        <v/>
      </c>
      <c r="I5" s="31" t="str">
        <f>IF(COUNTA(I6:I10)=0,"",COUNTIF(I6:I10,"Ya")/5*100)</f>
        <v/>
      </c>
      <c r="J5" s="31" t="str">
        <f>IF(COUNTA(J6:J10)=0,"",COUNTIF(J6:J10,"Ya")/5*100)</f>
        <v/>
      </c>
      <c r="K5" s="31" t="str">
        <f>IF(COUNTA(K6:K10)=0,"",COUNTIF(K6:K10,"Ya")/5*100)</f>
        <v/>
      </c>
      <c r="L5" s="31" t="str">
        <f>IF(COUNTA(L6:L10)=0,"",COUNTIF(L6:L10,"Ya")/5*100)</f>
        <v/>
      </c>
      <c r="M5" s="31" t="str">
        <f>IF(COUNTA(M6:M10)=0,"",COUNTIF(M6:M10,"Ya")/5*100)</f>
        <v/>
      </c>
      <c r="N5" s="31" t="str">
        <f>IF(COUNTA(N6:N10)=0,"",COUNTIF(N6:N10,"Ya")/5*100)</f>
        <v/>
      </c>
      <c r="O5" s="31" t="str">
        <f>IF(COUNTA(O6:O10)=0,"",COUNTIF(O6:O10,"Ya")/5*100)</f>
        <v/>
      </c>
      <c r="P5" s="31" t="str">
        <f>IF(COUNTA(P6:P10)=0,"",COUNTIF(P6:P10,"Ya")/5*100)</f>
        <v/>
      </c>
      <c r="Q5" s="31" t="str">
        <f>IF(COUNTA(Q6:Q10)=0,"",COUNTIF(Q6:Q10,"Ya")/5*100)</f>
        <v/>
      </c>
      <c r="R5" s="31" t="str">
        <f>IF(COUNTA(R6:R10)=0,"",COUNTIF(R6:R10,"Ya")/5*100)</f>
        <v/>
      </c>
      <c r="S5" s="31" t="str">
        <f>IF(COUNTA(S6:S10)=0,"",COUNTIF(S6:S10,"Ya")/5*100)</f>
        <v/>
      </c>
      <c r="T5" s="31" t="str">
        <f>IF(COUNTA(T6:T10)=0,"",COUNTIF(T6:T10,"Ya")/5*100)</f>
        <v/>
      </c>
      <c r="U5" s="31" t="str">
        <f>IF(COUNTA(U6:U10)=0,"",COUNTIF(U6:U10,"Ya")/5*100)</f>
        <v/>
      </c>
      <c r="V5" s="31" t="str">
        <f>IF(COUNTA(V6:V10)=0,"",COUNTIF(V6:V10,"Ya")/5*100)</f>
        <v/>
      </c>
      <c r="W5" s="31" t="str">
        <f>IF(COUNTA(W6:W10)=0,"",COUNTIF(W6:W10,"Ya")/5*100)</f>
        <v/>
      </c>
      <c r="X5" s="31" t="str">
        <f>IF(COUNTA(X6:X10)=0,"",COUNTIF(X6:X10,"Ya")/5*100)</f>
        <v/>
      </c>
      <c r="Y5" s="31" t="str">
        <f>IF(COUNTA(Y6:Y10)=0,"",COUNTIF(Y6:Y10,"Ya")/5*100)</f>
        <v/>
      </c>
      <c r="Z5" s="31" t="str">
        <f>_xlfn.IFERROR(AVERAGE(E5:Y5),"")</f>
        <v/>
      </c>
    </row>
    <row r="6" spans="8:8" ht="25.0" customHeight="1">
      <c r="A6" s="32"/>
      <c r="B6" s="33" t="s">
        <v>749</v>
      </c>
      <c r="C6" s="34" t="s">
        <v>750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8:8" ht="25.0" customHeight="1">
      <c r="A7" s="32"/>
      <c r="B7" s="33" t="s">
        <v>751</v>
      </c>
      <c r="C7" s="34" t="s">
        <v>752</v>
      </c>
      <c r="D7" s="3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8:8" ht="25.0" customHeight="1">
      <c r="A8" s="32"/>
      <c r="B8" s="33" t="s">
        <v>753</v>
      </c>
      <c r="C8" s="34" t="s">
        <v>754</v>
      </c>
      <c r="D8" s="32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8:8" ht="25.0" customHeight="1">
      <c r="A9" s="32"/>
      <c r="B9" s="33" t="s">
        <v>755</v>
      </c>
      <c r="C9" s="34" t="s">
        <v>756</v>
      </c>
      <c r="D9" s="32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8:8" ht="25.0" customHeight="1">
      <c r="A10" s="32"/>
      <c r="B10" s="33" t="s">
        <v>757</v>
      </c>
      <c r="C10" s="34" t="s">
        <v>758</v>
      </c>
      <c r="D10" s="32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8:8" ht="40.0" customHeight="1">
      <c r="A11" s="28"/>
      <c r="B11" s="29" t="s">
        <v>759</v>
      </c>
      <c r="C11" s="30" t="s">
        <v>760</v>
      </c>
      <c r="D11" s="29">
        <v>4.0</v>
      </c>
      <c r="E11" s="31" t="str">
        <f>IF(COUNTA(E12:E16)=0,"",COUNTIF(E12:E16,"Ya")/5*100)</f>
        <v/>
      </c>
      <c r="F11" s="31" t="str">
        <f>IF(COUNTA(F12:F16)=0,"",COUNTIF(F12:F16,"Ya")/5*100)</f>
        <v/>
      </c>
      <c r="G11" s="31" t="str">
        <f>IF(COUNTA(G12:G16)=0,"",COUNTIF(G12:G16,"Ya")/5*100)</f>
        <v/>
      </c>
      <c r="H11" s="31" t="str">
        <f>IF(COUNTA(H12:H16)=0,"",COUNTIF(H12:H16,"Ya")/5*100)</f>
        <v/>
      </c>
      <c r="I11" s="31" t="str">
        <f>IF(COUNTA(I12:I16)=0,"",COUNTIF(I12:I16,"Ya")/5*100)</f>
        <v/>
      </c>
      <c r="J11" s="31" t="str">
        <f>IF(COUNTA(J12:J16)=0,"",COUNTIF(J12:J16,"Ya")/5*100)</f>
        <v/>
      </c>
      <c r="K11" s="31" t="str">
        <f>IF(COUNTA(K12:K16)=0,"",COUNTIF(K12:K16,"Ya")/5*100)</f>
        <v/>
      </c>
      <c r="L11" s="31" t="str">
        <f>IF(COUNTA(L12:L16)=0,"",COUNTIF(L12:L16,"Ya")/5*100)</f>
        <v/>
      </c>
      <c r="M11" s="31" t="str">
        <f>IF(COUNTA(M12:M16)=0,"",COUNTIF(M12:M16,"Ya")/5*100)</f>
        <v/>
      </c>
      <c r="N11" s="31" t="str">
        <f>IF(COUNTA(N12:N16)=0,"",COUNTIF(N12:N16,"Ya")/5*100)</f>
        <v/>
      </c>
      <c r="O11" s="31" t="str">
        <f>IF(COUNTA(O12:O16)=0,"",COUNTIF(O12:O16,"Ya")/5*100)</f>
        <v/>
      </c>
      <c r="P11" s="31" t="str">
        <f>IF(COUNTA(P12:P16)=0,"",COUNTIF(P12:P16,"Ya")/5*100)</f>
        <v/>
      </c>
      <c r="Q11" s="31" t="str">
        <f>IF(COUNTA(Q12:Q16)=0,"",COUNTIF(Q12:Q16,"Ya")/5*100)</f>
        <v/>
      </c>
      <c r="R11" s="31" t="str">
        <f>IF(COUNTA(R12:R16)=0,"",COUNTIF(R12:R16,"Ya")/5*100)</f>
        <v/>
      </c>
      <c r="S11" s="31" t="str">
        <f>IF(COUNTA(S12:S16)=0,"",COUNTIF(S12:S16,"Ya")/5*100)</f>
        <v/>
      </c>
      <c r="T11" s="31" t="str">
        <f>IF(COUNTA(T12:T16)=0,"",COUNTIF(T12:T16,"Ya")/5*100)</f>
        <v/>
      </c>
      <c r="U11" s="31" t="str">
        <f>IF(COUNTA(U12:U16)=0,"",COUNTIF(U12:U16,"Ya")/5*100)</f>
        <v/>
      </c>
      <c r="V11" s="31" t="str">
        <f>IF(COUNTA(V12:V16)=0,"",COUNTIF(V12:V16,"Ya")/5*100)</f>
        <v/>
      </c>
      <c r="W11" s="31" t="str">
        <f>IF(COUNTA(W12:W16)=0,"",COUNTIF(W12:W16,"Ya")/5*100)</f>
        <v/>
      </c>
      <c r="X11" s="31" t="str">
        <f>IF(COUNTA(X12:X16)=0,"",COUNTIF(X12:X16,"Ya")/5*100)</f>
        <v/>
      </c>
      <c r="Y11" s="31" t="str">
        <f>IF(COUNTA(Y12:Y16)=0,"",COUNTIF(Y12:Y16,"Ya")/5*100)</f>
        <v/>
      </c>
      <c r="Z11" s="31" t="str">
        <f>_xlfn.IFERROR(AVERAGE(E11:Y11),"")</f>
        <v/>
      </c>
    </row>
    <row r="12" spans="8:8" ht="14.0" customHeight="1">
      <c r="A12" s="32"/>
      <c r="B12" s="33" t="s">
        <v>761</v>
      </c>
      <c r="C12" s="34" t="s">
        <v>762</v>
      </c>
      <c r="D12" s="32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8:8" ht="25.0" customHeight="1">
      <c r="A13" s="32"/>
      <c r="B13" s="33" t="s">
        <v>763</v>
      </c>
      <c r="C13" s="34" t="s">
        <v>764</v>
      </c>
      <c r="D13" s="32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8:8" ht="25.0" customHeight="1">
      <c r="A14" s="32"/>
      <c r="B14" s="33" t="s">
        <v>765</v>
      </c>
      <c r="C14" s="34" t="s">
        <v>766</v>
      </c>
      <c r="D14" s="32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8:8" ht="25.0" customHeight="1">
      <c r="A15" s="32"/>
      <c r="B15" s="33" t="s">
        <v>767</v>
      </c>
      <c r="C15" s="34" t="s">
        <v>768</v>
      </c>
      <c r="D15" s="32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8:8" ht="25.0" customHeight="1">
      <c r="A16" s="32"/>
      <c r="B16" s="33" t="s">
        <v>769</v>
      </c>
      <c r="C16" s="34" t="s">
        <v>770</v>
      </c>
      <c r="D16" s="32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8:8" ht="40.0" customHeight="1">
      <c r="A17" s="28"/>
      <c r="B17" s="29" t="s">
        <v>771</v>
      </c>
      <c r="C17" s="30" t="s">
        <v>772</v>
      </c>
      <c r="D17" s="29">
        <v>4.0</v>
      </c>
      <c r="E17" s="31" t="str">
        <f>IF(COUNTA(E18:E22)=0,"",COUNTIF(E18:E22,"Ya")/5*100)</f>
        <v/>
      </c>
      <c r="F17" s="31" t="str">
        <f>IF(COUNTA(F18:F22)=0,"",COUNTIF(F18:F22,"Ya")/5*100)</f>
        <v/>
      </c>
      <c r="G17" s="31" t="str">
        <f>IF(COUNTA(G18:G22)=0,"",COUNTIF(G18:G22,"Ya")/5*100)</f>
        <v/>
      </c>
      <c r="H17" s="31" t="str">
        <f>IF(COUNTA(H18:H22)=0,"",COUNTIF(H18:H22,"Ya")/5*100)</f>
        <v/>
      </c>
      <c r="I17" s="31" t="str">
        <f>IF(COUNTA(I18:I22)=0,"",COUNTIF(I18:I22,"Ya")/5*100)</f>
        <v/>
      </c>
      <c r="J17" s="31" t="str">
        <f>IF(COUNTA(J18:J22)=0,"",COUNTIF(J18:J22,"Ya")/5*100)</f>
        <v/>
      </c>
      <c r="K17" s="31" t="str">
        <f>IF(COUNTA(K18:K22)=0,"",COUNTIF(K18:K22,"Ya")/5*100)</f>
        <v/>
      </c>
      <c r="L17" s="31" t="str">
        <f>IF(COUNTA(L18:L22)=0,"",COUNTIF(L18:L22,"Ya")/5*100)</f>
        <v/>
      </c>
      <c r="M17" s="31" t="str">
        <f>IF(COUNTA(M18:M22)=0,"",COUNTIF(M18:M22,"Ya")/5*100)</f>
        <v/>
      </c>
      <c r="N17" s="31" t="str">
        <f>IF(COUNTA(N18:N22)=0,"",COUNTIF(N18:N22,"Ya")/5*100)</f>
        <v/>
      </c>
      <c r="O17" s="31" t="str">
        <f>IF(COUNTA(O18:O22)=0,"",COUNTIF(O18:O22,"Ya")/5*100)</f>
        <v/>
      </c>
      <c r="P17" s="31" t="str">
        <f>IF(COUNTA(P18:P22)=0,"",COUNTIF(P18:P22,"Ya")/5*100)</f>
        <v/>
      </c>
      <c r="Q17" s="31" t="str">
        <f>IF(COUNTA(Q18:Q22)=0,"",COUNTIF(Q18:Q22,"Ya")/5*100)</f>
        <v/>
      </c>
      <c r="R17" s="31" t="str">
        <f>IF(COUNTA(R18:R22)=0,"",COUNTIF(R18:R22,"Ya")/5*100)</f>
        <v/>
      </c>
      <c r="S17" s="31" t="str">
        <f>IF(COUNTA(S18:S22)=0,"",COUNTIF(S18:S22,"Ya")/5*100)</f>
        <v/>
      </c>
      <c r="T17" s="31" t="str">
        <f>IF(COUNTA(T18:T22)=0,"",COUNTIF(T18:T22,"Ya")/5*100)</f>
        <v/>
      </c>
      <c r="U17" s="31" t="str">
        <f>IF(COUNTA(U18:U22)=0,"",COUNTIF(U18:U22,"Ya")/5*100)</f>
        <v/>
      </c>
      <c r="V17" s="31" t="str">
        <f>IF(COUNTA(V18:V22)=0,"",COUNTIF(V18:V22,"Ya")/5*100)</f>
        <v/>
      </c>
      <c r="W17" s="31" t="str">
        <f>IF(COUNTA(W18:W22)=0,"",COUNTIF(W18:W22,"Ya")/5*100)</f>
        <v/>
      </c>
      <c r="X17" s="31" t="str">
        <f>IF(COUNTA(X18:X22)=0,"",COUNTIF(X18:X22,"Ya")/5*100)</f>
        <v/>
      </c>
      <c r="Y17" s="31" t="str">
        <f>IF(COUNTA(Y18:Y22)=0,"",COUNTIF(Y18:Y22,"Ya")/5*100)</f>
        <v/>
      </c>
      <c r="Z17" s="31" t="str">
        <f>_xlfn.IFERROR(AVERAGE(E17:Y17),"")</f>
        <v/>
      </c>
    </row>
    <row r="18" spans="8:8" ht="25.0" customHeight="1">
      <c r="A18" s="32"/>
      <c r="B18" s="33" t="s">
        <v>773</v>
      </c>
      <c r="C18" s="34" t="s">
        <v>774</v>
      </c>
      <c r="D18" s="32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8:8" ht="25.0" customHeight="1">
      <c r="A19" s="32"/>
      <c r="B19" s="33" t="s">
        <v>775</v>
      </c>
      <c r="C19" s="34" t="s">
        <v>776</v>
      </c>
      <c r="D19" s="32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8:8" ht="25.0" customHeight="1">
      <c r="A20" s="32"/>
      <c r="B20" s="33" t="s">
        <v>777</v>
      </c>
      <c r="C20" s="34" t="s">
        <v>778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8:8" ht="25.0" customHeight="1">
      <c r="A21" s="32"/>
      <c r="B21" s="33" t="s">
        <v>779</v>
      </c>
      <c r="C21" s="34" t="s">
        <v>780</v>
      </c>
      <c r="D21" s="32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8:8" ht="25.0" customHeight="1">
      <c r="A22" s="32"/>
      <c r="B22" s="33" t="s">
        <v>781</v>
      </c>
      <c r="C22" s="34" t="s">
        <v>782</v>
      </c>
      <c r="D22" s="32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8:8" ht="28.0" customHeight="1">
      <c r="A23" s="28"/>
      <c r="B23" s="29" t="s">
        <v>783</v>
      </c>
      <c r="C23" s="30" t="s">
        <v>784</v>
      </c>
      <c r="D23" s="29">
        <v>4.0</v>
      </c>
      <c r="E23" s="31" t="str">
        <f>IF(COUNTA(E24:E28)=0,"",COUNTIF(E24:E28,"Ya")/5*100)</f>
        <v/>
      </c>
      <c r="F23" s="31" t="str">
        <f>IF(COUNTA(F24:F28)=0,"",COUNTIF(F24:F28,"Ya")/5*100)</f>
        <v/>
      </c>
      <c r="G23" s="31" t="str">
        <f>IF(COUNTA(G24:G28)=0,"",COUNTIF(G24:G28,"Ya")/5*100)</f>
        <v/>
      </c>
      <c r="H23" s="31" t="str">
        <f>IF(COUNTA(H24:H28)=0,"",COUNTIF(H24:H28,"Ya")/5*100)</f>
        <v/>
      </c>
      <c r="I23" s="31" t="str">
        <f>IF(COUNTA(I24:I28)=0,"",COUNTIF(I24:I28,"Ya")/5*100)</f>
        <v/>
      </c>
      <c r="J23" s="31" t="str">
        <f>IF(COUNTA(J24:J28)=0,"",COUNTIF(J24:J28,"Ya")/5*100)</f>
        <v/>
      </c>
      <c r="K23" s="31" t="str">
        <f>IF(COUNTA(K24:K28)=0,"",COUNTIF(K24:K28,"Ya")/5*100)</f>
        <v/>
      </c>
      <c r="L23" s="31" t="str">
        <f>IF(COUNTA(L24:L28)=0,"",COUNTIF(L24:L28,"Ya")/5*100)</f>
        <v/>
      </c>
      <c r="M23" s="31" t="str">
        <f>IF(COUNTA(M24:M28)=0,"",COUNTIF(M24:M28,"Ya")/5*100)</f>
        <v/>
      </c>
      <c r="N23" s="31" t="str">
        <f>IF(COUNTA(N24:N28)=0,"",COUNTIF(N24:N28,"Ya")/5*100)</f>
        <v/>
      </c>
      <c r="O23" s="31" t="str">
        <f>IF(COUNTA(O24:O28)=0,"",COUNTIF(O24:O28,"Ya")/5*100)</f>
        <v/>
      </c>
      <c r="P23" s="31" t="str">
        <f>IF(COUNTA(P24:P28)=0,"",COUNTIF(P24:P28,"Ya")/5*100)</f>
        <v/>
      </c>
      <c r="Q23" s="31" t="str">
        <f>IF(COUNTA(Q24:Q28)=0,"",COUNTIF(Q24:Q28,"Ya")/5*100)</f>
        <v/>
      </c>
      <c r="R23" s="31" t="str">
        <f>IF(COUNTA(R24:R28)=0,"",COUNTIF(R24:R28,"Ya")/5*100)</f>
        <v/>
      </c>
      <c r="S23" s="31" t="str">
        <f>IF(COUNTA(S24:S28)=0,"",COUNTIF(S24:S28,"Ya")/5*100)</f>
        <v/>
      </c>
      <c r="T23" s="31" t="str">
        <f>IF(COUNTA(T24:T28)=0,"",COUNTIF(T24:T28,"Ya")/5*100)</f>
        <v/>
      </c>
      <c r="U23" s="31" t="str">
        <f>IF(COUNTA(U24:U28)=0,"",COUNTIF(U24:U28,"Ya")/5*100)</f>
        <v/>
      </c>
      <c r="V23" s="31" t="str">
        <f>IF(COUNTA(V24:V28)=0,"",COUNTIF(V24:V28,"Ya")/5*100)</f>
        <v/>
      </c>
      <c r="W23" s="31" t="str">
        <f>IF(COUNTA(W24:W28)=0,"",COUNTIF(W24:W28,"Ya")/5*100)</f>
        <v/>
      </c>
      <c r="X23" s="31" t="str">
        <f>IF(COUNTA(X24:X28)=0,"",COUNTIF(X24:X28,"Ya")/5*100)</f>
        <v/>
      </c>
      <c r="Y23" s="31" t="str">
        <f>IF(COUNTA(Y24:Y28)=0,"",COUNTIF(Y24:Y28,"Ya")/5*100)</f>
        <v/>
      </c>
      <c r="Z23" s="31" t="str">
        <f>_xlfn.IFERROR(AVERAGE(E23:Y23),"")</f>
        <v/>
      </c>
    </row>
    <row r="24" spans="8:8" ht="25.0" customHeight="1">
      <c r="A24" s="32"/>
      <c r="B24" s="33" t="s">
        <v>785</v>
      </c>
      <c r="C24" s="34" t="s">
        <v>786</v>
      </c>
      <c r="D24" s="32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8:8" ht="25.0" customHeight="1">
      <c r="A25" s="32"/>
      <c r="B25" s="33" t="s">
        <v>787</v>
      </c>
      <c r="C25" s="34" t="s">
        <v>788</v>
      </c>
      <c r="D25" s="32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8:8" ht="25.0" customHeight="1">
      <c r="A26" s="32"/>
      <c r="B26" s="33" t="s">
        <v>789</v>
      </c>
      <c r="C26" s="34" t="s">
        <v>790</v>
      </c>
      <c r="D26" s="32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8:8" ht="25.0" customHeight="1">
      <c r="A27" s="32"/>
      <c r="B27" s="33" t="s">
        <v>791</v>
      </c>
      <c r="C27" s="34" t="s">
        <v>792</v>
      </c>
      <c r="D27" s="32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8:8" ht="25.0" customHeight="1">
      <c r="A28" s="32"/>
      <c r="B28" s="33" t="s">
        <v>793</v>
      </c>
      <c r="C28" s="34" t="s">
        <v>794</v>
      </c>
      <c r="D28" s="32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8:8" ht="40.0" customHeight="1">
      <c r="A29" s="28"/>
      <c r="B29" s="29" t="s">
        <v>795</v>
      </c>
      <c r="C29" s="30" t="s">
        <v>796</v>
      </c>
      <c r="D29" s="29">
        <v>4.0</v>
      </c>
      <c r="E29" s="31" t="str">
        <f>IF(COUNTA(E30:E34)=0,"",COUNTIF(E30:E34,"Ya")/5*100)</f>
        <v/>
      </c>
      <c r="F29" s="31" t="str">
        <f>IF(COUNTA(F30:F34)=0,"",COUNTIF(F30:F34,"Ya")/5*100)</f>
        <v/>
      </c>
      <c r="G29" s="31" t="str">
        <f>IF(COUNTA(G30:G34)=0,"",COUNTIF(G30:G34,"Ya")/5*100)</f>
        <v/>
      </c>
      <c r="H29" s="31" t="str">
        <f>IF(COUNTA(H30:H34)=0,"",COUNTIF(H30:H34,"Ya")/5*100)</f>
        <v/>
      </c>
      <c r="I29" s="31" t="str">
        <f>IF(COUNTA(I30:I34)=0,"",COUNTIF(I30:I34,"Ya")/5*100)</f>
        <v/>
      </c>
      <c r="J29" s="31" t="str">
        <f>IF(COUNTA(J30:J34)=0,"",COUNTIF(J30:J34,"Ya")/5*100)</f>
        <v/>
      </c>
      <c r="K29" s="31" t="str">
        <f>IF(COUNTA(K30:K34)=0,"",COUNTIF(K30:K34,"Ya")/5*100)</f>
        <v/>
      </c>
      <c r="L29" s="31" t="str">
        <f>IF(COUNTA(L30:L34)=0,"",COUNTIF(L30:L34,"Ya")/5*100)</f>
        <v/>
      </c>
      <c r="M29" s="31" t="str">
        <f>IF(COUNTA(M30:M34)=0,"",COUNTIF(M30:M34,"Ya")/5*100)</f>
        <v/>
      </c>
      <c r="N29" s="31" t="str">
        <f>IF(COUNTA(N30:N34)=0,"",COUNTIF(N30:N34,"Ya")/5*100)</f>
        <v/>
      </c>
      <c r="O29" s="31" t="str">
        <f>IF(COUNTA(O30:O34)=0,"",COUNTIF(O30:O34,"Ya")/5*100)</f>
        <v/>
      </c>
      <c r="P29" s="31" t="str">
        <f>IF(COUNTA(P30:P34)=0,"",COUNTIF(P30:P34,"Ya")/5*100)</f>
        <v/>
      </c>
      <c r="Q29" s="31" t="str">
        <f>IF(COUNTA(Q30:Q34)=0,"",COUNTIF(Q30:Q34,"Ya")/5*100)</f>
        <v/>
      </c>
      <c r="R29" s="31" t="str">
        <f>IF(COUNTA(R30:R34)=0,"",COUNTIF(R30:R34,"Ya")/5*100)</f>
        <v/>
      </c>
      <c r="S29" s="31" t="str">
        <f>IF(COUNTA(S30:S34)=0,"",COUNTIF(S30:S34,"Ya")/5*100)</f>
        <v/>
      </c>
      <c r="T29" s="31" t="str">
        <f>IF(COUNTA(T30:T34)=0,"",COUNTIF(T30:T34,"Ya")/5*100)</f>
        <v/>
      </c>
      <c r="U29" s="31" t="str">
        <f>IF(COUNTA(U30:U34)=0,"",COUNTIF(U30:U34,"Ya")/5*100)</f>
        <v/>
      </c>
      <c r="V29" s="31" t="str">
        <f>IF(COUNTA(V30:V34)=0,"",COUNTIF(V30:V34,"Ya")/5*100)</f>
        <v/>
      </c>
      <c r="W29" s="31" t="str">
        <f>IF(COUNTA(W30:W34)=0,"",COUNTIF(W30:W34,"Ya")/5*100)</f>
        <v/>
      </c>
      <c r="X29" s="31" t="str">
        <f>IF(COUNTA(X30:X34)=0,"",COUNTIF(X30:X34,"Ya")/5*100)</f>
        <v/>
      </c>
      <c r="Y29" s="31" t="str">
        <f>IF(COUNTA(Y30:Y34)=0,"",COUNTIF(Y30:Y34,"Ya")/5*100)</f>
        <v/>
      </c>
      <c r="Z29" s="31" t="str">
        <f>_xlfn.IFERROR(AVERAGE(E29:Y29),"")</f>
        <v/>
      </c>
    </row>
    <row r="30" spans="8:8" ht="25.0" customHeight="1">
      <c r="A30" s="32"/>
      <c r="B30" s="33" t="s">
        <v>797</v>
      </c>
      <c r="C30" s="34" t="s">
        <v>798</v>
      </c>
      <c r="D30" s="32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8:8" ht="25.0" customHeight="1">
      <c r="A31" s="32"/>
      <c r="B31" s="33" t="s">
        <v>799</v>
      </c>
      <c r="C31" s="34" t="s">
        <v>800</v>
      </c>
      <c r="D31" s="32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spans="8:8" ht="25.0" customHeight="1">
      <c r="A32" s="32"/>
      <c r="B32" s="33" t="s">
        <v>801</v>
      </c>
      <c r="C32" s="34" t="s">
        <v>802</v>
      </c>
      <c r="D32" s="32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8:8" ht="25.0" customHeight="1">
      <c r="A33" s="32"/>
      <c r="B33" s="33" t="s">
        <v>803</v>
      </c>
      <c r="C33" s="34" t="s">
        <v>804</v>
      </c>
      <c r="D33" s="32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8:8" ht="36.0" customHeight="1">
      <c r="A34" s="32"/>
      <c r="B34" s="33" t="s">
        <v>805</v>
      </c>
      <c r="C34" s="34" t="s">
        <v>806</v>
      </c>
      <c r="D34" s="32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8:8" ht="18.0" customHeight="1">
      <c r="A35" s="36"/>
      <c r="B35" s="36"/>
      <c r="C35" s="37" t="s">
        <v>807</v>
      </c>
      <c r="D35" s="38">
        <v>20.0</v>
      </c>
      <c r="E35" s="39" t="str">
        <f>IF((IF(ISNUMBER(E5),4,0)+IF(ISNUMBER(E11),4,0)+IF(ISNUMBER(E17),4,0)+IF(ISNUMBER(E23),4,0)+IF(ISNUMBER(E29),4,0))=0,"",(IF(ISNUMBER(E5),E5*4,0)+IF(ISNUMBER(E11),E11*4,0)+IF(ISNUMBER(E17),E17*4,0)+IF(ISNUMBER(E23),E23*4,0)+IF(ISNUMBER(E29),E29*4,0))/(IF(ISNUMBER(E5),4,0)+IF(ISNUMBER(E11),4,0)+IF(ISNUMBER(E17),4,0)+IF(ISNUMBER(E23),4,0)+IF(ISNUMBER(E29),4,0)))</f>
        <v/>
      </c>
      <c r="F35" s="39" t="str">
        <f>IF((IF(ISNUMBER(F5),4,0)+IF(ISNUMBER(F11),4,0)+IF(ISNUMBER(F17),4,0)+IF(ISNUMBER(F23),4,0)+IF(ISNUMBER(F29),4,0))=0,"",(IF(ISNUMBER(F5),F5*4,0)+IF(ISNUMBER(F11),F11*4,0)+IF(ISNUMBER(F17),F17*4,0)+IF(ISNUMBER(F23),F23*4,0)+IF(ISNUMBER(F29),F29*4,0))/(IF(ISNUMBER(F5),4,0)+IF(ISNUMBER(F11),4,0)+IF(ISNUMBER(F17),4,0)+IF(ISNUMBER(F23),4,0)+IF(ISNUMBER(F29),4,0)))</f>
        <v/>
      </c>
      <c r="G35" s="39" t="str">
        <f>IF((IF(ISNUMBER(G5),4,0)+IF(ISNUMBER(G11),4,0)+IF(ISNUMBER(G17),4,0)+IF(ISNUMBER(G23),4,0)+IF(ISNUMBER(G29),4,0))=0,"",(IF(ISNUMBER(G5),G5*4,0)+IF(ISNUMBER(G11),G11*4,0)+IF(ISNUMBER(G17),G17*4,0)+IF(ISNUMBER(G23),G23*4,0)+IF(ISNUMBER(G29),G29*4,0))/(IF(ISNUMBER(G5),4,0)+IF(ISNUMBER(G11),4,0)+IF(ISNUMBER(G17),4,0)+IF(ISNUMBER(G23),4,0)+IF(ISNUMBER(G29),4,0)))</f>
        <v/>
      </c>
      <c r="H35" s="39" t="str">
        <f>IF((IF(ISNUMBER(H5),4,0)+IF(ISNUMBER(H11),4,0)+IF(ISNUMBER(H17),4,0)+IF(ISNUMBER(H23),4,0)+IF(ISNUMBER(H29),4,0))=0,"",(IF(ISNUMBER(H5),H5*4,0)+IF(ISNUMBER(H11),H11*4,0)+IF(ISNUMBER(H17),H17*4,0)+IF(ISNUMBER(H23),H23*4,0)+IF(ISNUMBER(H29),H29*4,0))/(IF(ISNUMBER(H5),4,0)+IF(ISNUMBER(H11),4,0)+IF(ISNUMBER(H17),4,0)+IF(ISNUMBER(H23),4,0)+IF(ISNUMBER(H29),4,0)))</f>
        <v/>
      </c>
      <c r="I35" s="39" t="str">
        <f>IF((IF(ISNUMBER(I5),4,0)+IF(ISNUMBER(I11),4,0)+IF(ISNUMBER(I17),4,0)+IF(ISNUMBER(I23),4,0)+IF(ISNUMBER(I29),4,0))=0,"",(IF(ISNUMBER(I5),I5*4,0)+IF(ISNUMBER(I11),I11*4,0)+IF(ISNUMBER(I17),I17*4,0)+IF(ISNUMBER(I23),I23*4,0)+IF(ISNUMBER(I29),I29*4,0))/(IF(ISNUMBER(I5),4,0)+IF(ISNUMBER(I11),4,0)+IF(ISNUMBER(I17),4,0)+IF(ISNUMBER(I23),4,0)+IF(ISNUMBER(I29),4,0)))</f>
        <v/>
      </c>
      <c r="J35" s="39" t="str">
        <f>IF((IF(ISNUMBER(J5),4,0)+IF(ISNUMBER(J11),4,0)+IF(ISNUMBER(J17),4,0)+IF(ISNUMBER(J23),4,0)+IF(ISNUMBER(J29),4,0))=0,"",(IF(ISNUMBER(J5),J5*4,0)+IF(ISNUMBER(J11),J11*4,0)+IF(ISNUMBER(J17),J17*4,0)+IF(ISNUMBER(J23),J23*4,0)+IF(ISNUMBER(J29),J29*4,0))/(IF(ISNUMBER(J5),4,0)+IF(ISNUMBER(J11),4,0)+IF(ISNUMBER(J17),4,0)+IF(ISNUMBER(J23),4,0)+IF(ISNUMBER(J29),4,0)))</f>
        <v/>
      </c>
      <c r="K35" s="39" t="str">
        <f>IF((IF(ISNUMBER(K5),4,0)+IF(ISNUMBER(K11),4,0)+IF(ISNUMBER(K17),4,0)+IF(ISNUMBER(K23),4,0)+IF(ISNUMBER(K29),4,0))=0,"",(IF(ISNUMBER(K5),K5*4,0)+IF(ISNUMBER(K11),K11*4,0)+IF(ISNUMBER(K17),K17*4,0)+IF(ISNUMBER(K23),K23*4,0)+IF(ISNUMBER(K29),K29*4,0))/(IF(ISNUMBER(K5),4,0)+IF(ISNUMBER(K11),4,0)+IF(ISNUMBER(K17),4,0)+IF(ISNUMBER(K23),4,0)+IF(ISNUMBER(K29),4,0)))</f>
        <v/>
      </c>
      <c r="L35" s="39" t="str">
        <f>IF((IF(ISNUMBER(L5),4,0)+IF(ISNUMBER(L11),4,0)+IF(ISNUMBER(L17),4,0)+IF(ISNUMBER(L23),4,0)+IF(ISNUMBER(L29),4,0))=0,"",(IF(ISNUMBER(L5),L5*4,0)+IF(ISNUMBER(L11),L11*4,0)+IF(ISNUMBER(L17),L17*4,0)+IF(ISNUMBER(L23),L23*4,0)+IF(ISNUMBER(L29),L29*4,0))/(IF(ISNUMBER(L5),4,0)+IF(ISNUMBER(L11),4,0)+IF(ISNUMBER(L17),4,0)+IF(ISNUMBER(L23),4,0)+IF(ISNUMBER(L29),4,0)))</f>
        <v/>
      </c>
      <c r="M35" s="39" t="str">
        <f>IF((IF(ISNUMBER(M5),4,0)+IF(ISNUMBER(M11),4,0)+IF(ISNUMBER(M17),4,0)+IF(ISNUMBER(M23),4,0)+IF(ISNUMBER(M29),4,0))=0,"",(IF(ISNUMBER(M5),M5*4,0)+IF(ISNUMBER(M11),M11*4,0)+IF(ISNUMBER(M17),M17*4,0)+IF(ISNUMBER(M23),M23*4,0)+IF(ISNUMBER(M29),M29*4,0))/(IF(ISNUMBER(M5),4,0)+IF(ISNUMBER(M11),4,0)+IF(ISNUMBER(M17),4,0)+IF(ISNUMBER(M23),4,0)+IF(ISNUMBER(M29),4,0)))</f>
        <v/>
      </c>
      <c r="N35" s="39" t="str">
        <f>IF((IF(ISNUMBER(N5),4,0)+IF(ISNUMBER(N11),4,0)+IF(ISNUMBER(N17),4,0)+IF(ISNUMBER(N23),4,0)+IF(ISNUMBER(N29),4,0))=0,"",(IF(ISNUMBER(N5),N5*4,0)+IF(ISNUMBER(N11),N11*4,0)+IF(ISNUMBER(N17),N17*4,0)+IF(ISNUMBER(N23),N23*4,0)+IF(ISNUMBER(N29),N29*4,0))/(IF(ISNUMBER(N5),4,0)+IF(ISNUMBER(N11),4,0)+IF(ISNUMBER(N17),4,0)+IF(ISNUMBER(N23),4,0)+IF(ISNUMBER(N29),4,0)))</f>
        <v/>
      </c>
      <c r="O35" s="39" t="str">
        <f>IF((IF(ISNUMBER(O5),4,0)+IF(ISNUMBER(O11),4,0)+IF(ISNUMBER(O17),4,0)+IF(ISNUMBER(O23),4,0)+IF(ISNUMBER(O29),4,0))=0,"",(IF(ISNUMBER(O5),O5*4,0)+IF(ISNUMBER(O11),O11*4,0)+IF(ISNUMBER(O17),O17*4,0)+IF(ISNUMBER(O23),O23*4,0)+IF(ISNUMBER(O29),O29*4,0))/(IF(ISNUMBER(O5),4,0)+IF(ISNUMBER(O11),4,0)+IF(ISNUMBER(O17),4,0)+IF(ISNUMBER(O23),4,0)+IF(ISNUMBER(O29),4,0)))</f>
        <v/>
      </c>
      <c r="P35" s="39" t="str">
        <f>IF((IF(ISNUMBER(P5),4,0)+IF(ISNUMBER(P11),4,0)+IF(ISNUMBER(P17),4,0)+IF(ISNUMBER(P23),4,0)+IF(ISNUMBER(P29),4,0))=0,"",(IF(ISNUMBER(P5),P5*4,0)+IF(ISNUMBER(P11),P11*4,0)+IF(ISNUMBER(P17),P17*4,0)+IF(ISNUMBER(P23),P23*4,0)+IF(ISNUMBER(P29),P29*4,0))/(IF(ISNUMBER(P5),4,0)+IF(ISNUMBER(P11),4,0)+IF(ISNUMBER(P17),4,0)+IF(ISNUMBER(P23),4,0)+IF(ISNUMBER(P29),4,0)))</f>
        <v/>
      </c>
      <c r="Q35" s="39" t="str">
        <f>IF((IF(ISNUMBER(Q5),4,0)+IF(ISNUMBER(Q11),4,0)+IF(ISNUMBER(Q17),4,0)+IF(ISNUMBER(Q23),4,0)+IF(ISNUMBER(Q29),4,0))=0,"",(IF(ISNUMBER(Q5),Q5*4,0)+IF(ISNUMBER(Q11),Q11*4,0)+IF(ISNUMBER(Q17),Q17*4,0)+IF(ISNUMBER(Q23),Q23*4,0)+IF(ISNUMBER(Q29),Q29*4,0))/(IF(ISNUMBER(Q5),4,0)+IF(ISNUMBER(Q11),4,0)+IF(ISNUMBER(Q17),4,0)+IF(ISNUMBER(Q23),4,0)+IF(ISNUMBER(Q29),4,0)))</f>
        <v/>
      </c>
      <c r="R35" s="39" t="str">
        <f>IF((IF(ISNUMBER(R5),4,0)+IF(ISNUMBER(R11),4,0)+IF(ISNUMBER(R17),4,0)+IF(ISNUMBER(R23),4,0)+IF(ISNUMBER(R29),4,0))=0,"",(IF(ISNUMBER(R5),R5*4,0)+IF(ISNUMBER(R11),R11*4,0)+IF(ISNUMBER(R17),R17*4,0)+IF(ISNUMBER(R23),R23*4,0)+IF(ISNUMBER(R29),R29*4,0))/(IF(ISNUMBER(R5),4,0)+IF(ISNUMBER(R11),4,0)+IF(ISNUMBER(R17),4,0)+IF(ISNUMBER(R23),4,0)+IF(ISNUMBER(R29),4,0)))</f>
        <v/>
      </c>
      <c r="S35" s="39" t="str">
        <f>IF((IF(ISNUMBER(S5),4,0)+IF(ISNUMBER(S11),4,0)+IF(ISNUMBER(S17),4,0)+IF(ISNUMBER(S23),4,0)+IF(ISNUMBER(S29),4,0))=0,"",(IF(ISNUMBER(S5),S5*4,0)+IF(ISNUMBER(S11),S11*4,0)+IF(ISNUMBER(S17),S17*4,0)+IF(ISNUMBER(S23),S23*4,0)+IF(ISNUMBER(S29),S29*4,0))/(IF(ISNUMBER(S5),4,0)+IF(ISNUMBER(S11),4,0)+IF(ISNUMBER(S17),4,0)+IF(ISNUMBER(S23),4,0)+IF(ISNUMBER(S29),4,0)))</f>
        <v/>
      </c>
      <c r="T35" s="39" t="str">
        <f>IF((IF(ISNUMBER(T5),4,0)+IF(ISNUMBER(T11),4,0)+IF(ISNUMBER(T17),4,0)+IF(ISNUMBER(T23),4,0)+IF(ISNUMBER(T29),4,0))=0,"",(IF(ISNUMBER(T5),T5*4,0)+IF(ISNUMBER(T11),T11*4,0)+IF(ISNUMBER(T17),T17*4,0)+IF(ISNUMBER(T23),T23*4,0)+IF(ISNUMBER(T29),T29*4,0))/(IF(ISNUMBER(T5),4,0)+IF(ISNUMBER(T11),4,0)+IF(ISNUMBER(T17),4,0)+IF(ISNUMBER(T23),4,0)+IF(ISNUMBER(T29),4,0)))</f>
        <v/>
      </c>
      <c r="U35" s="39" t="str">
        <f>IF((IF(ISNUMBER(U5),4,0)+IF(ISNUMBER(U11),4,0)+IF(ISNUMBER(U17),4,0)+IF(ISNUMBER(U23),4,0)+IF(ISNUMBER(U29),4,0))=0,"",(IF(ISNUMBER(U5),U5*4,0)+IF(ISNUMBER(U11),U11*4,0)+IF(ISNUMBER(U17),U17*4,0)+IF(ISNUMBER(U23),U23*4,0)+IF(ISNUMBER(U29),U29*4,0))/(IF(ISNUMBER(U5),4,0)+IF(ISNUMBER(U11),4,0)+IF(ISNUMBER(U17),4,0)+IF(ISNUMBER(U23),4,0)+IF(ISNUMBER(U29),4,0)))</f>
        <v/>
      </c>
      <c r="V35" s="39" t="str">
        <f>IF((IF(ISNUMBER(V5),4,0)+IF(ISNUMBER(V11),4,0)+IF(ISNUMBER(V17),4,0)+IF(ISNUMBER(V23),4,0)+IF(ISNUMBER(V29),4,0))=0,"",(IF(ISNUMBER(V5),V5*4,0)+IF(ISNUMBER(V11),V11*4,0)+IF(ISNUMBER(V17),V17*4,0)+IF(ISNUMBER(V23),V23*4,0)+IF(ISNUMBER(V29),V29*4,0))/(IF(ISNUMBER(V5),4,0)+IF(ISNUMBER(V11),4,0)+IF(ISNUMBER(V17),4,0)+IF(ISNUMBER(V23),4,0)+IF(ISNUMBER(V29),4,0)))</f>
        <v/>
      </c>
      <c r="W35" s="39" t="str">
        <f>IF((IF(ISNUMBER(W5),4,0)+IF(ISNUMBER(W11),4,0)+IF(ISNUMBER(W17),4,0)+IF(ISNUMBER(W23),4,0)+IF(ISNUMBER(W29),4,0))=0,"",(IF(ISNUMBER(W5),W5*4,0)+IF(ISNUMBER(W11),W11*4,0)+IF(ISNUMBER(W17),W17*4,0)+IF(ISNUMBER(W23),W23*4,0)+IF(ISNUMBER(W29),W29*4,0))/(IF(ISNUMBER(W5),4,0)+IF(ISNUMBER(W11),4,0)+IF(ISNUMBER(W17),4,0)+IF(ISNUMBER(W23),4,0)+IF(ISNUMBER(W29),4,0)))</f>
        <v/>
      </c>
      <c r="X35" s="39" t="str">
        <f>IF((IF(ISNUMBER(X5),4,0)+IF(ISNUMBER(X11),4,0)+IF(ISNUMBER(X17),4,0)+IF(ISNUMBER(X23),4,0)+IF(ISNUMBER(X29),4,0))=0,"",(IF(ISNUMBER(X5),X5*4,0)+IF(ISNUMBER(X11),X11*4,0)+IF(ISNUMBER(X17),X17*4,0)+IF(ISNUMBER(X23),X23*4,0)+IF(ISNUMBER(X29),X29*4,0))/(IF(ISNUMBER(X5),4,0)+IF(ISNUMBER(X11),4,0)+IF(ISNUMBER(X17),4,0)+IF(ISNUMBER(X23),4,0)+IF(ISNUMBER(X29),4,0)))</f>
        <v/>
      </c>
      <c r="Y35" s="39" t="str">
        <f>IF((IF(ISNUMBER(Y5),4,0)+IF(ISNUMBER(Y11),4,0)+IF(ISNUMBER(Y17),4,0)+IF(ISNUMBER(Y23),4,0)+IF(ISNUMBER(Y29),4,0))=0,"",(IF(ISNUMBER(Y5),Y5*4,0)+IF(ISNUMBER(Y11),Y11*4,0)+IF(ISNUMBER(Y17),Y17*4,0)+IF(ISNUMBER(Y23),Y23*4,0)+IF(ISNUMBER(Y29),Y29*4,0))/(IF(ISNUMBER(Y5),4,0)+IF(ISNUMBER(Y11),4,0)+IF(ISNUMBER(Y17),4,0)+IF(ISNUMBER(Y23),4,0)+IF(ISNUMBER(Y29),4,0)))</f>
        <v/>
      </c>
      <c r="Z35" s="39" t="str">
        <f>_xlfn.IFERROR(AVERAGE(E35:Y35),"")</f>
        <v/>
      </c>
    </row>
    <row r="36" spans="8:8" ht="20.0" customHeight="1">
      <c r="A36" s="18" t="s">
        <v>808</v>
      </c>
    </row>
    <row r="37" spans="8:8" ht="28.0" customHeight="1">
      <c r="A37" s="28"/>
      <c r="B37" s="29" t="s">
        <v>809</v>
      </c>
      <c r="C37" s="30" t="s">
        <v>810</v>
      </c>
      <c r="D37" s="29">
        <v>4.0</v>
      </c>
      <c r="E37" s="31" t="str">
        <f>IF(COUNTA(E38:E42)=0,"",COUNTIF(E38:E42,"Ya")/5*100)</f>
        <v/>
      </c>
      <c r="F37" s="31" t="str">
        <f>IF(COUNTA(F38:F42)=0,"",COUNTIF(F38:F42,"Ya")/5*100)</f>
        <v/>
      </c>
      <c r="G37" s="31" t="str">
        <f>IF(COUNTA(G38:G42)=0,"",COUNTIF(G38:G42,"Ya")/5*100)</f>
        <v/>
      </c>
      <c r="H37" s="31" t="str">
        <f>IF(COUNTA(H38:H42)=0,"",COUNTIF(H38:H42,"Ya")/5*100)</f>
        <v/>
      </c>
      <c r="I37" s="31" t="str">
        <f>IF(COUNTA(I38:I42)=0,"",COUNTIF(I38:I42,"Ya")/5*100)</f>
        <v/>
      </c>
      <c r="J37" s="31" t="str">
        <f>IF(COUNTA(J38:J42)=0,"",COUNTIF(J38:J42,"Ya")/5*100)</f>
        <v/>
      </c>
      <c r="K37" s="31" t="str">
        <f>IF(COUNTA(K38:K42)=0,"",COUNTIF(K38:K42,"Ya")/5*100)</f>
        <v/>
      </c>
      <c r="L37" s="31" t="str">
        <f>IF(COUNTA(L38:L42)=0,"",COUNTIF(L38:L42,"Ya")/5*100)</f>
        <v/>
      </c>
      <c r="M37" s="31" t="str">
        <f>IF(COUNTA(M38:M42)=0,"",COUNTIF(M38:M42,"Ya")/5*100)</f>
        <v/>
      </c>
      <c r="N37" s="31" t="str">
        <f>IF(COUNTA(N38:N42)=0,"",COUNTIF(N38:N42,"Ya")/5*100)</f>
        <v/>
      </c>
      <c r="O37" s="31" t="str">
        <f>IF(COUNTA(O38:O42)=0,"",COUNTIF(O38:O42,"Ya")/5*100)</f>
        <v/>
      </c>
      <c r="P37" s="31" t="str">
        <f>IF(COUNTA(P38:P42)=0,"",COUNTIF(P38:P42,"Ya")/5*100)</f>
        <v/>
      </c>
      <c r="Q37" s="31" t="str">
        <f>IF(COUNTA(Q38:Q42)=0,"",COUNTIF(Q38:Q42,"Ya")/5*100)</f>
        <v/>
      </c>
      <c r="R37" s="31" t="str">
        <f>IF(COUNTA(R38:R42)=0,"",COUNTIF(R38:R42,"Ya")/5*100)</f>
        <v/>
      </c>
      <c r="S37" s="31" t="str">
        <f>IF(COUNTA(S38:S42)=0,"",COUNTIF(S38:S42,"Ya")/5*100)</f>
        <v/>
      </c>
      <c r="T37" s="31" t="str">
        <f>IF(COUNTA(T38:T42)=0,"",COUNTIF(T38:T42,"Ya")/5*100)</f>
        <v/>
      </c>
      <c r="U37" s="31" t="str">
        <f>IF(COUNTA(U38:U42)=0,"",COUNTIF(U38:U42,"Ya")/5*100)</f>
        <v/>
      </c>
      <c r="V37" s="31" t="str">
        <f>IF(COUNTA(V38:V42)=0,"",COUNTIF(V38:V42,"Ya")/5*100)</f>
        <v/>
      </c>
      <c r="W37" s="31" t="str">
        <f>IF(COUNTA(W38:W42)=0,"",COUNTIF(W38:W42,"Ya")/5*100)</f>
        <v/>
      </c>
      <c r="X37" s="31" t="str">
        <f>IF(COUNTA(X38:X42)=0,"",COUNTIF(X38:X42,"Ya")/5*100)</f>
        <v/>
      </c>
      <c r="Y37" s="31" t="str">
        <f>IF(COUNTA(Y38:Y42)=0,"",COUNTIF(Y38:Y42,"Ya")/5*100)</f>
        <v/>
      </c>
      <c r="Z37" s="31" t="str">
        <f>_xlfn.IFERROR(AVERAGE(E37:Y37),"")</f>
        <v/>
      </c>
    </row>
    <row r="38" spans="8:8" ht="25.0" customHeight="1">
      <c r="A38" s="32"/>
      <c r="B38" s="33" t="s">
        <v>811</v>
      </c>
      <c r="C38" s="34" t="s">
        <v>812</v>
      </c>
      <c r="D38" s="32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8:8" ht="25.0" customHeight="1">
      <c r="A39" s="32"/>
      <c r="B39" s="33" t="s">
        <v>813</v>
      </c>
      <c r="C39" s="34" t="s">
        <v>814</v>
      </c>
      <c r="D39" s="32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8:8" ht="25.0" customHeight="1">
      <c r="A40" s="32"/>
      <c r="B40" s="33" t="s">
        <v>815</v>
      </c>
      <c r="C40" s="34" t="s">
        <v>816</v>
      </c>
      <c r="D40" s="32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8:8" ht="25.0" customHeight="1">
      <c r="A41" s="32"/>
      <c r="B41" s="33" t="s">
        <v>817</v>
      </c>
      <c r="C41" s="34" t="s">
        <v>818</v>
      </c>
      <c r="D41" s="32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8:8" ht="25.0" customHeight="1">
      <c r="A42" s="32"/>
      <c r="B42" s="33" t="s">
        <v>819</v>
      </c>
      <c r="C42" s="34" t="s">
        <v>820</v>
      </c>
      <c r="D42" s="32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8:8" ht="28.0" customHeight="1">
      <c r="A43" s="28"/>
      <c r="B43" s="29" t="s">
        <v>821</v>
      </c>
      <c r="C43" s="30" t="s">
        <v>822</v>
      </c>
      <c r="D43" s="29">
        <v>4.0</v>
      </c>
      <c r="E43" s="31" t="str">
        <f>IF(COUNTA(E44:E48)=0,"",COUNTIF(E44:E48,"Ya")/5*100)</f>
        <v/>
      </c>
      <c r="F43" s="31" t="str">
        <f>IF(COUNTA(F44:F48)=0,"",COUNTIF(F44:F48,"Ya")/5*100)</f>
        <v/>
      </c>
      <c r="G43" s="31" t="str">
        <f>IF(COUNTA(G44:G48)=0,"",COUNTIF(G44:G48,"Ya")/5*100)</f>
        <v/>
      </c>
      <c r="H43" s="31" t="str">
        <f>IF(COUNTA(H44:H48)=0,"",COUNTIF(H44:H48,"Ya")/5*100)</f>
        <v/>
      </c>
      <c r="I43" s="31" t="str">
        <f>IF(COUNTA(I44:I48)=0,"",COUNTIF(I44:I48,"Ya")/5*100)</f>
        <v/>
      </c>
      <c r="J43" s="31" t="str">
        <f>IF(COUNTA(J44:J48)=0,"",COUNTIF(J44:J48,"Ya")/5*100)</f>
        <v/>
      </c>
      <c r="K43" s="31" t="str">
        <f>IF(COUNTA(K44:K48)=0,"",COUNTIF(K44:K48,"Ya")/5*100)</f>
        <v/>
      </c>
      <c r="L43" s="31" t="str">
        <f>IF(COUNTA(L44:L48)=0,"",COUNTIF(L44:L48,"Ya")/5*100)</f>
        <v/>
      </c>
      <c r="M43" s="31" t="str">
        <f>IF(COUNTA(M44:M48)=0,"",COUNTIF(M44:M48,"Ya")/5*100)</f>
        <v/>
      </c>
      <c r="N43" s="31" t="str">
        <f>IF(COUNTA(N44:N48)=0,"",COUNTIF(N44:N48,"Ya")/5*100)</f>
        <v/>
      </c>
      <c r="O43" s="31" t="str">
        <f>IF(COUNTA(O44:O48)=0,"",COUNTIF(O44:O48,"Ya")/5*100)</f>
        <v/>
      </c>
      <c r="P43" s="31" t="str">
        <f>IF(COUNTA(P44:P48)=0,"",COUNTIF(P44:P48,"Ya")/5*100)</f>
        <v/>
      </c>
      <c r="Q43" s="31" t="str">
        <f>IF(COUNTA(Q44:Q48)=0,"",COUNTIF(Q44:Q48,"Ya")/5*100)</f>
        <v/>
      </c>
      <c r="R43" s="31" t="str">
        <f>IF(COUNTA(R44:R48)=0,"",COUNTIF(R44:R48,"Ya")/5*100)</f>
        <v/>
      </c>
      <c r="S43" s="31" t="str">
        <f>IF(COUNTA(S44:S48)=0,"",COUNTIF(S44:S48,"Ya")/5*100)</f>
        <v/>
      </c>
      <c r="T43" s="31" t="str">
        <f>IF(COUNTA(T44:T48)=0,"",COUNTIF(T44:T48,"Ya")/5*100)</f>
        <v/>
      </c>
      <c r="U43" s="31" t="str">
        <f>IF(COUNTA(U44:U48)=0,"",COUNTIF(U44:U48,"Ya")/5*100)</f>
        <v/>
      </c>
      <c r="V43" s="31" t="str">
        <f>IF(COUNTA(V44:V48)=0,"",COUNTIF(V44:V48,"Ya")/5*100)</f>
        <v/>
      </c>
      <c r="W43" s="31" t="str">
        <f>IF(COUNTA(W44:W48)=0,"",COUNTIF(W44:W48,"Ya")/5*100)</f>
        <v/>
      </c>
      <c r="X43" s="31" t="str">
        <f>IF(COUNTA(X44:X48)=0,"",COUNTIF(X44:X48,"Ya")/5*100)</f>
        <v/>
      </c>
      <c r="Y43" s="31" t="str">
        <f>IF(COUNTA(Y44:Y48)=0,"",COUNTIF(Y44:Y48,"Ya")/5*100)</f>
        <v/>
      </c>
      <c r="Z43" s="31" t="str">
        <f>_xlfn.IFERROR(AVERAGE(E43:Y43),"")</f>
        <v/>
      </c>
    </row>
    <row r="44" spans="8:8" ht="25.0" customHeight="1">
      <c r="A44" s="32"/>
      <c r="B44" s="33" t="s">
        <v>823</v>
      </c>
      <c r="C44" s="34" t="s">
        <v>824</v>
      </c>
      <c r="D44" s="32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8:8" ht="25.0" customHeight="1">
      <c r="A45" s="32"/>
      <c r="B45" s="33" t="s">
        <v>825</v>
      </c>
      <c r="C45" s="34" t="s">
        <v>826</v>
      </c>
      <c r="D45" s="32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8:8" ht="25.0" customHeight="1">
      <c r="A46" s="32"/>
      <c r="B46" s="33" t="s">
        <v>827</v>
      </c>
      <c r="C46" s="34" t="s">
        <v>828</v>
      </c>
      <c r="D46" s="32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8:8" ht="25.0" customHeight="1">
      <c r="A47" s="32"/>
      <c r="B47" s="33" t="s">
        <v>829</v>
      </c>
      <c r="C47" s="34" t="s">
        <v>830</v>
      </c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8:8" ht="25.0" customHeight="1">
      <c r="A48" s="32"/>
      <c r="B48" s="33" t="s">
        <v>831</v>
      </c>
      <c r="C48" s="34" t="s">
        <v>832</v>
      </c>
      <c r="D48" s="32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8:8" ht="28.0" customHeight="1">
      <c r="A49" s="28"/>
      <c r="B49" s="29" t="s">
        <v>833</v>
      </c>
      <c r="C49" s="30" t="s">
        <v>834</v>
      </c>
      <c r="D49" s="29">
        <v>4.0</v>
      </c>
      <c r="E49" s="31" t="str">
        <f>IF(COUNTA(E50:E54)=0,"",COUNTIF(E50:E54,"Ya")/5*100)</f>
        <v/>
      </c>
      <c r="F49" s="31" t="str">
        <f>IF(COUNTA(F50:F54)=0,"",COUNTIF(F50:F54,"Ya")/5*100)</f>
        <v/>
      </c>
      <c r="G49" s="31" t="str">
        <f>IF(COUNTA(G50:G54)=0,"",COUNTIF(G50:G54,"Ya")/5*100)</f>
        <v/>
      </c>
      <c r="H49" s="31" t="str">
        <f>IF(COUNTA(H50:H54)=0,"",COUNTIF(H50:H54,"Ya")/5*100)</f>
        <v/>
      </c>
      <c r="I49" s="31" t="str">
        <f>IF(COUNTA(I50:I54)=0,"",COUNTIF(I50:I54,"Ya")/5*100)</f>
        <v/>
      </c>
      <c r="J49" s="31" t="str">
        <f>IF(COUNTA(J50:J54)=0,"",COUNTIF(J50:J54,"Ya")/5*100)</f>
        <v/>
      </c>
      <c r="K49" s="31" t="str">
        <f>IF(COUNTA(K50:K54)=0,"",COUNTIF(K50:K54,"Ya")/5*100)</f>
        <v/>
      </c>
      <c r="L49" s="31" t="str">
        <f>IF(COUNTA(L50:L54)=0,"",COUNTIF(L50:L54,"Ya")/5*100)</f>
        <v/>
      </c>
      <c r="M49" s="31" t="str">
        <f>IF(COUNTA(M50:M54)=0,"",COUNTIF(M50:M54,"Ya")/5*100)</f>
        <v/>
      </c>
      <c r="N49" s="31" t="str">
        <f>IF(COUNTA(N50:N54)=0,"",COUNTIF(N50:N54,"Ya")/5*100)</f>
        <v/>
      </c>
      <c r="O49" s="31" t="str">
        <f>IF(COUNTA(O50:O54)=0,"",COUNTIF(O50:O54,"Ya")/5*100)</f>
        <v/>
      </c>
      <c r="P49" s="31" t="str">
        <f>IF(COUNTA(P50:P54)=0,"",COUNTIF(P50:P54,"Ya")/5*100)</f>
        <v/>
      </c>
      <c r="Q49" s="31" t="str">
        <f>IF(COUNTA(Q50:Q54)=0,"",COUNTIF(Q50:Q54,"Ya")/5*100)</f>
        <v/>
      </c>
      <c r="R49" s="31" t="str">
        <f>IF(COUNTA(R50:R54)=0,"",COUNTIF(R50:R54,"Ya")/5*100)</f>
        <v/>
      </c>
      <c r="S49" s="31" t="str">
        <f>IF(COUNTA(S50:S54)=0,"",COUNTIF(S50:S54,"Ya")/5*100)</f>
        <v/>
      </c>
      <c r="T49" s="31" t="str">
        <f>IF(COUNTA(T50:T54)=0,"",COUNTIF(T50:T54,"Ya")/5*100)</f>
        <v/>
      </c>
      <c r="U49" s="31" t="str">
        <f>IF(COUNTA(U50:U54)=0,"",COUNTIF(U50:U54,"Ya")/5*100)</f>
        <v/>
      </c>
      <c r="V49" s="31" t="str">
        <f>IF(COUNTA(V50:V54)=0,"",COUNTIF(V50:V54,"Ya")/5*100)</f>
        <v/>
      </c>
      <c r="W49" s="31" t="str">
        <f>IF(COUNTA(W50:W54)=0,"",COUNTIF(W50:W54,"Ya")/5*100)</f>
        <v/>
      </c>
      <c r="X49" s="31" t="str">
        <f>IF(COUNTA(X50:X54)=0,"",COUNTIF(X50:X54,"Ya")/5*100)</f>
        <v/>
      </c>
      <c r="Y49" s="31" t="str">
        <f>IF(COUNTA(Y50:Y54)=0,"",COUNTIF(Y50:Y54,"Ya")/5*100)</f>
        <v/>
      </c>
      <c r="Z49" s="31" t="str">
        <f>_xlfn.IFERROR(AVERAGE(E49:Y49),"")</f>
        <v/>
      </c>
    </row>
    <row r="50" spans="8:8" ht="25.0" customHeight="1">
      <c r="A50" s="32"/>
      <c r="B50" s="33" t="s">
        <v>835</v>
      </c>
      <c r="C50" s="34" t="s">
        <v>836</v>
      </c>
      <c r="D50" s="32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8:8" ht="25.0" customHeight="1">
      <c r="A51" s="32"/>
      <c r="B51" s="33" t="s">
        <v>837</v>
      </c>
      <c r="C51" s="34" t="s">
        <v>838</v>
      </c>
      <c r="D51" s="32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8:8" ht="25.0" customHeight="1">
      <c r="A52" s="32"/>
      <c r="B52" s="33" t="s">
        <v>839</v>
      </c>
      <c r="C52" s="34" t="s">
        <v>840</v>
      </c>
      <c r="D52" s="32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8:8" ht="25.0" customHeight="1">
      <c r="A53" s="32"/>
      <c r="B53" s="33" t="s">
        <v>841</v>
      </c>
      <c r="C53" s="34" t="s">
        <v>842</v>
      </c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8:8" ht="25.0" customHeight="1">
      <c r="A54" s="32"/>
      <c r="B54" s="33" t="s">
        <v>843</v>
      </c>
      <c r="C54" s="34" t="s">
        <v>844</v>
      </c>
      <c r="D54" s="32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8:8" ht="28.0" customHeight="1">
      <c r="A55" s="28"/>
      <c r="B55" s="29" t="s">
        <v>845</v>
      </c>
      <c r="C55" s="30" t="s">
        <v>846</v>
      </c>
      <c r="D55" s="29">
        <v>4.0</v>
      </c>
      <c r="E55" s="31" t="str">
        <f>IF(COUNTA(E56:E60)=0,"",COUNTIF(E56:E60,"Ya")/5*100)</f>
        <v/>
      </c>
      <c r="F55" s="31" t="str">
        <f>IF(COUNTA(F56:F60)=0,"",COUNTIF(F56:F60,"Ya")/5*100)</f>
        <v/>
      </c>
      <c r="G55" s="31" t="str">
        <f>IF(COUNTA(G56:G60)=0,"",COUNTIF(G56:G60,"Ya")/5*100)</f>
        <v/>
      </c>
      <c r="H55" s="31" t="str">
        <f>IF(COUNTA(H56:H60)=0,"",COUNTIF(H56:H60,"Ya")/5*100)</f>
        <v/>
      </c>
      <c r="I55" s="31" t="str">
        <f>IF(COUNTA(I56:I60)=0,"",COUNTIF(I56:I60,"Ya")/5*100)</f>
        <v/>
      </c>
      <c r="J55" s="31" t="str">
        <f>IF(COUNTA(J56:J60)=0,"",COUNTIF(J56:J60,"Ya")/5*100)</f>
        <v/>
      </c>
      <c r="K55" s="31" t="str">
        <f>IF(COUNTA(K56:K60)=0,"",COUNTIF(K56:K60,"Ya")/5*100)</f>
        <v/>
      </c>
      <c r="L55" s="31" t="str">
        <f>IF(COUNTA(L56:L60)=0,"",COUNTIF(L56:L60,"Ya")/5*100)</f>
        <v/>
      </c>
      <c r="M55" s="31" t="str">
        <f>IF(COUNTA(M56:M60)=0,"",COUNTIF(M56:M60,"Ya")/5*100)</f>
        <v/>
      </c>
      <c r="N55" s="31" t="str">
        <f>IF(COUNTA(N56:N60)=0,"",COUNTIF(N56:N60,"Ya")/5*100)</f>
        <v/>
      </c>
      <c r="O55" s="31" t="str">
        <f>IF(COUNTA(O56:O60)=0,"",COUNTIF(O56:O60,"Ya")/5*100)</f>
        <v/>
      </c>
      <c r="P55" s="31" t="str">
        <f>IF(COUNTA(P56:P60)=0,"",COUNTIF(P56:P60,"Ya")/5*100)</f>
        <v/>
      </c>
      <c r="Q55" s="31" t="str">
        <f>IF(COUNTA(Q56:Q60)=0,"",COUNTIF(Q56:Q60,"Ya")/5*100)</f>
        <v/>
      </c>
      <c r="R55" s="31" t="str">
        <f>IF(COUNTA(R56:R60)=0,"",COUNTIF(R56:R60,"Ya")/5*100)</f>
        <v/>
      </c>
      <c r="S55" s="31" t="str">
        <f>IF(COUNTA(S56:S60)=0,"",COUNTIF(S56:S60,"Ya")/5*100)</f>
        <v/>
      </c>
      <c r="T55" s="31" t="str">
        <f>IF(COUNTA(T56:T60)=0,"",COUNTIF(T56:T60,"Ya")/5*100)</f>
        <v/>
      </c>
      <c r="U55" s="31" t="str">
        <f>IF(COUNTA(U56:U60)=0,"",COUNTIF(U56:U60,"Ya")/5*100)</f>
        <v/>
      </c>
      <c r="V55" s="31" t="str">
        <f>IF(COUNTA(V56:V60)=0,"",COUNTIF(V56:V60,"Ya")/5*100)</f>
        <v/>
      </c>
      <c r="W55" s="31" t="str">
        <f>IF(COUNTA(W56:W60)=0,"",COUNTIF(W56:W60,"Ya")/5*100)</f>
        <v/>
      </c>
      <c r="X55" s="31" t="str">
        <f>IF(COUNTA(X56:X60)=0,"",COUNTIF(X56:X60,"Ya")/5*100)</f>
        <v/>
      </c>
      <c r="Y55" s="31" t="str">
        <f>IF(COUNTA(Y56:Y60)=0,"",COUNTIF(Y56:Y60,"Ya")/5*100)</f>
        <v/>
      </c>
      <c r="Z55" s="31" t="str">
        <f>_xlfn.IFERROR(AVERAGE(E55:Y55),"")</f>
        <v/>
      </c>
    </row>
    <row r="56" spans="8:8" ht="25.0" customHeight="1">
      <c r="A56" s="32"/>
      <c r="B56" s="33" t="s">
        <v>847</v>
      </c>
      <c r="C56" s="34" t="s">
        <v>848</v>
      </c>
      <c r="D56" s="32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8:8" ht="25.0" customHeight="1">
      <c r="A57" s="32"/>
      <c r="B57" s="33" t="s">
        <v>849</v>
      </c>
      <c r="C57" s="34" t="s">
        <v>850</v>
      </c>
      <c r="D57" s="32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spans="8:8" ht="25.0" customHeight="1">
      <c r="A58" s="32"/>
      <c r="B58" s="33" t="s">
        <v>851</v>
      </c>
      <c r="C58" s="34" t="s">
        <v>852</v>
      </c>
      <c r="D58" s="3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8:8" ht="25.0" customHeight="1">
      <c r="A59" s="32"/>
      <c r="B59" s="33" t="s">
        <v>853</v>
      </c>
      <c r="C59" s="34" t="s">
        <v>854</v>
      </c>
      <c r="D59" s="32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8:8" ht="25.0" customHeight="1">
      <c r="A60" s="32"/>
      <c r="B60" s="33" t="s">
        <v>855</v>
      </c>
      <c r="C60" s="34" t="s">
        <v>856</v>
      </c>
      <c r="D60" s="3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8:8" ht="28.0" customHeight="1">
      <c r="A61" s="28"/>
      <c r="B61" s="29" t="s">
        <v>857</v>
      </c>
      <c r="C61" s="30" t="s">
        <v>858</v>
      </c>
      <c r="D61" s="29">
        <v>4.0</v>
      </c>
      <c r="E61" s="31" t="str">
        <f>IF(COUNTA(E62:E66)=0,"",COUNTIF(E62:E66,"Ya")/5*100)</f>
        <v/>
      </c>
      <c r="F61" s="31" t="str">
        <f>IF(COUNTA(F62:F66)=0,"",COUNTIF(F62:F66,"Ya")/5*100)</f>
        <v/>
      </c>
      <c r="G61" s="31" t="str">
        <f>IF(COUNTA(G62:G66)=0,"",COUNTIF(G62:G66,"Ya")/5*100)</f>
        <v/>
      </c>
      <c r="H61" s="31" t="str">
        <f>IF(COUNTA(H62:H66)=0,"",COUNTIF(H62:H66,"Ya")/5*100)</f>
        <v/>
      </c>
      <c r="I61" s="31" t="str">
        <f>IF(COUNTA(I62:I66)=0,"",COUNTIF(I62:I66,"Ya")/5*100)</f>
        <v/>
      </c>
      <c r="J61" s="31" t="str">
        <f>IF(COUNTA(J62:J66)=0,"",COUNTIF(J62:J66,"Ya")/5*100)</f>
        <v/>
      </c>
      <c r="K61" s="31" t="str">
        <f>IF(COUNTA(K62:K66)=0,"",COUNTIF(K62:K66,"Ya")/5*100)</f>
        <v/>
      </c>
      <c r="L61" s="31" t="str">
        <f>IF(COUNTA(L62:L66)=0,"",COUNTIF(L62:L66,"Ya")/5*100)</f>
        <v/>
      </c>
      <c r="M61" s="31" t="str">
        <f>IF(COUNTA(M62:M66)=0,"",COUNTIF(M62:M66,"Ya")/5*100)</f>
        <v/>
      </c>
      <c r="N61" s="31" t="str">
        <f>IF(COUNTA(N62:N66)=0,"",COUNTIF(N62:N66,"Ya")/5*100)</f>
        <v/>
      </c>
      <c r="O61" s="31" t="str">
        <f>IF(COUNTA(O62:O66)=0,"",COUNTIF(O62:O66,"Ya")/5*100)</f>
        <v/>
      </c>
      <c r="P61" s="31" t="str">
        <f>IF(COUNTA(P62:P66)=0,"",COUNTIF(P62:P66,"Ya")/5*100)</f>
        <v/>
      </c>
      <c r="Q61" s="31" t="str">
        <f>IF(COUNTA(Q62:Q66)=0,"",COUNTIF(Q62:Q66,"Ya")/5*100)</f>
        <v/>
      </c>
      <c r="R61" s="31" t="str">
        <f>IF(COUNTA(R62:R66)=0,"",COUNTIF(R62:R66,"Ya")/5*100)</f>
        <v/>
      </c>
      <c r="S61" s="31" t="str">
        <f>IF(COUNTA(S62:S66)=0,"",COUNTIF(S62:S66,"Ya")/5*100)</f>
        <v/>
      </c>
      <c r="T61" s="31" t="str">
        <f>IF(COUNTA(T62:T66)=0,"",COUNTIF(T62:T66,"Ya")/5*100)</f>
        <v/>
      </c>
      <c r="U61" s="31" t="str">
        <f>IF(COUNTA(U62:U66)=0,"",COUNTIF(U62:U66,"Ya")/5*100)</f>
        <v/>
      </c>
      <c r="V61" s="31" t="str">
        <f>IF(COUNTA(V62:V66)=0,"",COUNTIF(V62:V66,"Ya")/5*100)</f>
        <v/>
      </c>
      <c r="W61" s="31" t="str">
        <f>IF(COUNTA(W62:W66)=0,"",COUNTIF(W62:W66,"Ya")/5*100)</f>
        <v/>
      </c>
      <c r="X61" s="31" t="str">
        <f>IF(COUNTA(X62:X66)=0,"",COUNTIF(X62:X66,"Ya")/5*100)</f>
        <v/>
      </c>
      <c r="Y61" s="31" t="str">
        <f>IF(COUNTA(Y62:Y66)=0,"",COUNTIF(Y62:Y66,"Ya")/5*100)</f>
        <v/>
      </c>
      <c r="Z61" s="31" t="str">
        <f>_xlfn.IFERROR(AVERAGE(E61:Y61),"")</f>
        <v/>
      </c>
    </row>
    <row r="62" spans="8:8" ht="25.0" customHeight="1">
      <c r="A62" s="32"/>
      <c r="B62" s="33" t="s">
        <v>859</v>
      </c>
      <c r="C62" s="34" t="s">
        <v>860</v>
      </c>
      <c r="D62" s="32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8:8" ht="25.0" customHeight="1">
      <c r="A63" s="32"/>
      <c r="B63" s="33" t="s">
        <v>861</v>
      </c>
      <c r="C63" s="34" t="s">
        <v>862</v>
      </c>
      <c r="D63" s="32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spans="8:8" ht="25.0" customHeight="1">
      <c r="A64" s="32"/>
      <c r="B64" s="33" t="s">
        <v>863</v>
      </c>
      <c r="C64" s="34" t="s">
        <v>864</v>
      </c>
      <c r="D64" s="32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8:8" ht="25.0" customHeight="1">
      <c r="A65" s="32"/>
      <c r="B65" s="33" t="s">
        <v>865</v>
      </c>
      <c r="C65" s="34" t="s">
        <v>866</v>
      </c>
      <c r="D65" s="32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8:8" ht="25.0" customHeight="1">
      <c r="A66" s="32"/>
      <c r="B66" s="33" t="s">
        <v>867</v>
      </c>
      <c r="C66" s="34" t="s">
        <v>868</v>
      </c>
      <c r="D66" s="32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8:8" ht="18.0" customHeight="1">
      <c r="A67" s="36"/>
      <c r="B67" s="36"/>
      <c r="C67" s="37" t="s">
        <v>869</v>
      </c>
      <c r="D67" s="38">
        <v>20.0</v>
      </c>
      <c r="E67" s="39" t="str">
        <f>IF((IF(ISNUMBER(E37),4,0)+IF(ISNUMBER(E43),4,0)+IF(ISNUMBER(E49),4,0)+IF(ISNUMBER(E55),4,0)+IF(ISNUMBER(E61),4,0))=0,"",(IF(ISNUMBER(E37),E37*4,0)+IF(ISNUMBER(E43),E43*4,0)+IF(ISNUMBER(E49),E49*4,0)+IF(ISNUMBER(E55),E55*4,0)+IF(ISNUMBER(E61),E61*4,0))/(IF(ISNUMBER(E37),4,0)+IF(ISNUMBER(E43),4,0)+IF(ISNUMBER(E49),4,0)+IF(ISNUMBER(E55),4,0)+IF(ISNUMBER(E61),4,0)))</f>
        <v/>
      </c>
      <c r="F67" s="39" t="str">
        <f>IF((IF(ISNUMBER(F37),4,0)+IF(ISNUMBER(F43),4,0)+IF(ISNUMBER(F49),4,0)+IF(ISNUMBER(F55),4,0)+IF(ISNUMBER(F61),4,0))=0,"",(IF(ISNUMBER(F37),F37*4,0)+IF(ISNUMBER(F43),F43*4,0)+IF(ISNUMBER(F49),F49*4,0)+IF(ISNUMBER(F55),F55*4,0)+IF(ISNUMBER(F61),F61*4,0))/(IF(ISNUMBER(F37),4,0)+IF(ISNUMBER(F43),4,0)+IF(ISNUMBER(F49),4,0)+IF(ISNUMBER(F55),4,0)+IF(ISNUMBER(F61),4,0)))</f>
        <v/>
      </c>
      <c r="G67" s="39" t="str">
        <f>IF((IF(ISNUMBER(G37),4,0)+IF(ISNUMBER(G43),4,0)+IF(ISNUMBER(G49),4,0)+IF(ISNUMBER(G55),4,0)+IF(ISNUMBER(G61),4,0))=0,"",(IF(ISNUMBER(G37),G37*4,0)+IF(ISNUMBER(G43),G43*4,0)+IF(ISNUMBER(G49),G49*4,0)+IF(ISNUMBER(G55),G55*4,0)+IF(ISNUMBER(G61),G61*4,0))/(IF(ISNUMBER(G37),4,0)+IF(ISNUMBER(G43),4,0)+IF(ISNUMBER(G49),4,0)+IF(ISNUMBER(G55),4,0)+IF(ISNUMBER(G61),4,0)))</f>
        <v/>
      </c>
      <c r="H67" s="39" t="str">
        <f>IF((IF(ISNUMBER(H37),4,0)+IF(ISNUMBER(H43),4,0)+IF(ISNUMBER(H49),4,0)+IF(ISNUMBER(H55),4,0)+IF(ISNUMBER(H61),4,0))=0,"",(IF(ISNUMBER(H37),H37*4,0)+IF(ISNUMBER(H43),H43*4,0)+IF(ISNUMBER(H49),H49*4,0)+IF(ISNUMBER(H55),H55*4,0)+IF(ISNUMBER(H61),H61*4,0))/(IF(ISNUMBER(H37),4,0)+IF(ISNUMBER(H43),4,0)+IF(ISNUMBER(H49),4,0)+IF(ISNUMBER(H55),4,0)+IF(ISNUMBER(H61),4,0)))</f>
        <v/>
      </c>
      <c r="I67" s="39" t="str">
        <f>IF((IF(ISNUMBER(I37),4,0)+IF(ISNUMBER(I43),4,0)+IF(ISNUMBER(I49),4,0)+IF(ISNUMBER(I55),4,0)+IF(ISNUMBER(I61),4,0))=0,"",(IF(ISNUMBER(I37),I37*4,0)+IF(ISNUMBER(I43),I43*4,0)+IF(ISNUMBER(I49),I49*4,0)+IF(ISNUMBER(I55),I55*4,0)+IF(ISNUMBER(I61),I61*4,0))/(IF(ISNUMBER(I37),4,0)+IF(ISNUMBER(I43),4,0)+IF(ISNUMBER(I49),4,0)+IF(ISNUMBER(I55),4,0)+IF(ISNUMBER(I61),4,0)))</f>
        <v/>
      </c>
      <c r="J67" s="39" t="str">
        <f>IF((IF(ISNUMBER(J37),4,0)+IF(ISNUMBER(J43),4,0)+IF(ISNUMBER(J49),4,0)+IF(ISNUMBER(J55),4,0)+IF(ISNUMBER(J61),4,0))=0,"",(IF(ISNUMBER(J37),J37*4,0)+IF(ISNUMBER(J43),J43*4,0)+IF(ISNUMBER(J49),J49*4,0)+IF(ISNUMBER(J55),J55*4,0)+IF(ISNUMBER(J61),J61*4,0))/(IF(ISNUMBER(J37),4,0)+IF(ISNUMBER(J43),4,0)+IF(ISNUMBER(J49),4,0)+IF(ISNUMBER(J55),4,0)+IF(ISNUMBER(J61),4,0)))</f>
        <v/>
      </c>
      <c r="K67" s="39" t="str">
        <f>IF((IF(ISNUMBER(K37),4,0)+IF(ISNUMBER(K43),4,0)+IF(ISNUMBER(K49),4,0)+IF(ISNUMBER(K55),4,0)+IF(ISNUMBER(K61),4,0))=0,"",(IF(ISNUMBER(K37),K37*4,0)+IF(ISNUMBER(K43),K43*4,0)+IF(ISNUMBER(K49),K49*4,0)+IF(ISNUMBER(K55),K55*4,0)+IF(ISNUMBER(K61),K61*4,0))/(IF(ISNUMBER(K37),4,0)+IF(ISNUMBER(K43),4,0)+IF(ISNUMBER(K49),4,0)+IF(ISNUMBER(K55),4,0)+IF(ISNUMBER(K61),4,0)))</f>
        <v/>
      </c>
      <c r="L67" s="39" t="str">
        <f>IF((IF(ISNUMBER(L37),4,0)+IF(ISNUMBER(L43),4,0)+IF(ISNUMBER(L49),4,0)+IF(ISNUMBER(L55),4,0)+IF(ISNUMBER(L61),4,0))=0,"",(IF(ISNUMBER(L37),L37*4,0)+IF(ISNUMBER(L43),L43*4,0)+IF(ISNUMBER(L49),L49*4,0)+IF(ISNUMBER(L55),L55*4,0)+IF(ISNUMBER(L61),L61*4,0))/(IF(ISNUMBER(L37),4,0)+IF(ISNUMBER(L43),4,0)+IF(ISNUMBER(L49),4,0)+IF(ISNUMBER(L55),4,0)+IF(ISNUMBER(L61),4,0)))</f>
        <v/>
      </c>
      <c r="M67" s="39" t="str">
        <f>IF((IF(ISNUMBER(M37),4,0)+IF(ISNUMBER(M43),4,0)+IF(ISNUMBER(M49),4,0)+IF(ISNUMBER(M55),4,0)+IF(ISNUMBER(M61),4,0))=0,"",(IF(ISNUMBER(M37),M37*4,0)+IF(ISNUMBER(M43),M43*4,0)+IF(ISNUMBER(M49),M49*4,0)+IF(ISNUMBER(M55),M55*4,0)+IF(ISNUMBER(M61),M61*4,0))/(IF(ISNUMBER(M37),4,0)+IF(ISNUMBER(M43),4,0)+IF(ISNUMBER(M49),4,0)+IF(ISNUMBER(M55),4,0)+IF(ISNUMBER(M61),4,0)))</f>
        <v/>
      </c>
      <c r="N67" s="39" t="str">
        <f>IF((IF(ISNUMBER(N37),4,0)+IF(ISNUMBER(N43),4,0)+IF(ISNUMBER(N49),4,0)+IF(ISNUMBER(N55),4,0)+IF(ISNUMBER(N61),4,0))=0,"",(IF(ISNUMBER(N37),N37*4,0)+IF(ISNUMBER(N43),N43*4,0)+IF(ISNUMBER(N49),N49*4,0)+IF(ISNUMBER(N55),N55*4,0)+IF(ISNUMBER(N61),N61*4,0))/(IF(ISNUMBER(N37),4,0)+IF(ISNUMBER(N43),4,0)+IF(ISNUMBER(N49),4,0)+IF(ISNUMBER(N55),4,0)+IF(ISNUMBER(N61),4,0)))</f>
        <v/>
      </c>
      <c r="O67" s="39" t="str">
        <f>IF((IF(ISNUMBER(O37),4,0)+IF(ISNUMBER(O43),4,0)+IF(ISNUMBER(O49),4,0)+IF(ISNUMBER(O55),4,0)+IF(ISNUMBER(O61),4,0))=0,"",(IF(ISNUMBER(O37),O37*4,0)+IF(ISNUMBER(O43),O43*4,0)+IF(ISNUMBER(O49),O49*4,0)+IF(ISNUMBER(O55),O55*4,0)+IF(ISNUMBER(O61),O61*4,0))/(IF(ISNUMBER(O37),4,0)+IF(ISNUMBER(O43),4,0)+IF(ISNUMBER(O49),4,0)+IF(ISNUMBER(O55),4,0)+IF(ISNUMBER(O61),4,0)))</f>
        <v/>
      </c>
      <c r="P67" s="39" t="str">
        <f>IF((IF(ISNUMBER(P37),4,0)+IF(ISNUMBER(P43),4,0)+IF(ISNUMBER(P49),4,0)+IF(ISNUMBER(P55),4,0)+IF(ISNUMBER(P61),4,0))=0,"",(IF(ISNUMBER(P37),P37*4,0)+IF(ISNUMBER(P43),P43*4,0)+IF(ISNUMBER(P49),P49*4,0)+IF(ISNUMBER(P55),P55*4,0)+IF(ISNUMBER(P61),P61*4,0))/(IF(ISNUMBER(P37),4,0)+IF(ISNUMBER(P43),4,0)+IF(ISNUMBER(P49),4,0)+IF(ISNUMBER(P55),4,0)+IF(ISNUMBER(P61),4,0)))</f>
        <v/>
      </c>
      <c r="Q67" s="39" t="str">
        <f>IF((IF(ISNUMBER(Q37),4,0)+IF(ISNUMBER(Q43),4,0)+IF(ISNUMBER(Q49),4,0)+IF(ISNUMBER(Q55),4,0)+IF(ISNUMBER(Q61),4,0))=0,"",(IF(ISNUMBER(Q37),Q37*4,0)+IF(ISNUMBER(Q43),Q43*4,0)+IF(ISNUMBER(Q49),Q49*4,0)+IF(ISNUMBER(Q55),Q55*4,0)+IF(ISNUMBER(Q61),Q61*4,0))/(IF(ISNUMBER(Q37),4,0)+IF(ISNUMBER(Q43),4,0)+IF(ISNUMBER(Q49),4,0)+IF(ISNUMBER(Q55),4,0)+IF(ISNUMBER(Q61),4,0)))</f>
        <v/>
      </c>
      <c r="R67" s="39" t="str">
        <f>IF((IF(ISNUMBER(R37),4,0)+IF(ISNUMBER(R43),4,0)+IF(ISNUMBER(R49),4,0)+IF(ISNUMBER(R55),4,0)+IF(ISNUMBER(R61),4,0))=0,"",(IF(ISNUMBER(R37),R37*4,0)+IF(ISNUMBER(R43),R43*4,0)+IF(ISNUMBER(R49),R49*4,0)+IF(ISNUMBER(R55),R55*4,0)+IF(ISNUMBER(R61),R61*4,0))/(IF(ISNUMBER(R37),4,0)+IF(ISNUMBER(R43),4,0)+IF(ISNUMBER(R49),4,0)+IF(ISNUMBER(R55),4,0)+IF(ISNUMBER(R61),4,0)))</f>
        <v/>
      </c>
      <c r="S67" s="39" t="str">
        <f>IF((IF(ISNUMBER(S37),4,0)+IF(ISNUMBER(S43),4,0)+IF(ISNUMBER(S49),4,0)+IF(ISNUMBER(S55),4,0)+IF(ISNUMBER(S61),4,0))=0,"",(IF(ISNUMBER(S37),S37*4,0)+IF(ISNUMBER(S43),S43*4,0)+IF(ISNUMBER(S49),S49*4,0)+IF(ISNUMBER(S55),S55*4,0)+IF(ISNUMBER(S61),S61*4,0))/(IF(ISNUMBER(S37),4,0)+IF(ISNUMBER(S43),4,0)+IF(ISNUMBER(S49),4,0)+IF(ISNUMBER(S55),4,0)+IF(ISNUMBER(S61),4,0)))</f>
        <v/>
      </c>
      <c r="T67" s="39" t="str">
        <f>IF((IF(ISNUMBER(T37),4,0)+IF(ISNUMBER(T43),4,0)+IF(ISNUMBER(T49),4,0)+IF(ISNUMBER(T55),4,0)+IF(ISNUMBER(T61),4,0))=0,"",(IF(ISNUMBER(T37),T37*4,0)+IF(ISNUMBER(T43),T43*4,0)+IF(ISNUMBER(T49),T49*4,0)+IF(ISNUMBER(T55),T55*4,0)+IF(ISNUMBER(T61),T61*4,0))/(IF(ISNUMBER(T37),4,0)+IF(ISNUMBER(T43),4,0)+IF(ISNUMBER(T49),4,0)+IF(ISNUMBER(T55),4,0)+IF(ISNUMBER(T61),4,0)))</f>
        <v/>
      </c>
      <c r="U67" s="39" t="str">
        <f>IF((IF(ISNUMBER(U37),4,0)+IF(ISNUMBER(U43),4,0)+IF(ISNUMBER(U49),4,0)+IF(ISNUMBER(U55),4,0)+IF(ISNUMBER(U61),4,0))=0,"",(IF(ISNUMBER(U37),U37*4,0)+IF(ISNUMBER(U43),U43*4,0)+IF(ISNUMBER(U49),U49*4,0)+IF(ISNUMBER(U55),U55*4,0)+IF(ISNUMBER(U61),U61*4,0))/(IF(ISNUMBER(U37),4,0)+IF(ISNUMBER(U43),4,0)+IF(ISNUMBER(U49),4,0)+IF(ISNUMBER(U55),4,0)+IF(ISNUMBER(U61),4,0)))</f>
        <v/>
      </c>
      <c r="V67" s="39" t="str">
        <f>IF((IF(ISNUMBER(V37),4,0)+IF(ISNUMBER(V43),4,0)+IF(ISNUMBER(V49),4,0)+IF(ISNUMBER(V55),4,0)+IF(ISNUMBER(V61),4,0))=0,"",(IF(ISNUMBER(V37),V37*4,0)+IF(ISNUMBER(V43),V43*4,0)+IF(ISNUMBER(V49),V49*4,0)+IF(ISNUMBER(V55),V55*4,0)+IF(ISNUMBER(V61),V61*4,0))/(IF(ISNUMBER(V37),4,0)+IF(ISNUMBER(V43),4,0)+IF(ISNUMBER(V49),4,0)+IF(ISNUMBER(V55),4,0)+IF(ISNUMBER(V61),4,0)))</f>
        <v/>
      </c>
      <c r="W67" s="39" t="str">
        <f>IF((IF(ISNUMBER(W37),4,0)+IF(ISNUMBER(W43),4,0)+IF(ISNUMBER(W49),4,0)+IF(ISNUMBER(W55),4,0)+IF(ISNUMBER(W61),4,0))=0,"",(IF(ISNUMBER(W37),W37*4,0)+IF(ISNUMBER(W43),W43*4,0)+IF(ISNUMBER(W49),W49*4,0)+IF(ISNUMBER(W55),W55*4,0)+IF(ISNUMBER(W61),W61*4,0))/(IF(ISNUMBER(W37),4,0)+IF(ISNUMBER(W43),4,0)+IF(ISNUMBER(W49),4,0)+IF(ISNUMBER(W55),4,0)+IF(ISNUMBER(W61),4,0)))</f>
        <v/>
      </c>
      <c r="X67" s="39" t="str">
        <f>IF((IF(ISNUMBER(X37),4,0)+IF(ISNUMBER(X43),4,0)+IF(ISNUMBER(X49),4,0)+IF(ISNUMBER(X55),4,0)+IF(ISNUMBER(X61),4,0))=0,"",(IF(ISNUMBER(X37),X37*4,0)+IF(ISNUMBER(X43),X43*4,0)+IF(ISNUMBER(X49),X49*4,0)+IF(ISNUMBER(X55),X55*4,0)+IF(ISNUMBER(X61),X61*4,0))/(IF(ISNUMBER(X37),4,0)+IF(ISNUMBER(X43),4,0)+IF(ISNUMBER(X49),4,0)+IF(ISNUMBER(X55),4,0)+IF(ISNUMBER(X61),4,0)))</f>
        <v/>
      </c>
      <c r="Y67" s="39" t="str">
        <f>IF((IF(ISNUMBER(Y37),4,0)+IF(ISNUMBER(Y43),4,0)+IF(ISNUMBER(Y49),4,0)+IF(ISNUMBER(Y55),4,0)+IF(ISNUMBER(Y61),4,0))=0,"",(IF(ISNUMBER(Y37),Y37*4,0)+IF(ISNUMBER(Y43),Y43*4,0)+IF(ISNUMBER(Y49),Y49*4,0)+IF(ISNUMBER(Y55),Y55*4,0)+IF(ISNUMBER(Y61),Y61*4,0))/(IF(ISNUMBER(Y37),4,0)+IF(ISNUMBER(Y43),4,0)+IF(ISNUMBER(Y49),4,0)+IF(ISNUMBER(Y55),4,0)+IF(ISNUMBER(Y61),4,0)))</f>
        <v/>
      </c>
      <c r="Z67" s="39" t="str">
        <f>_xlfn.IFERROR(AVERAGE(E67:Y67),"")</f>
        <v/>
      </c>
    </row>
    <row r="68" spans="8:8" ht="20.0" customHeight="1">
      <c r="A68" s="18" t="s">
        <v>870</v>
      </c>
    </row>
    <row r="69" spans="8:8" ht="28.0" customHeight="1">
      <c r="A69" s="28"/>
      <c r="B69" s="29" t="s">
        <v>57</v>
      </c>
      <c r="C69" s="30" t="s">
        <v>871</v>
      </c>
      <c r="D69" s="29">
        <v>4.0</v>
      </c>
      <c r="E69" s="31" t="str">
        <f>IF(COUNTA(E70:E74)=0,"",COUNTIF(E70:E74,"Ya")/5*100)</f>
        <v/>
      </c>
      <c r="F69" s="31" t="str">
        <f>IF(COUNTA(F70:F74)=0,"",COUNTIF(F70:F74,"Ya")/5*100)</f>
        <v/>
      </c>
      <c r="G69" s="31" t="str">
        <f>IF(COUNTA(G70:G74)=0,"",COUNTIF(G70:G74,"Ya")/5*100)</f>
        <v/>
      </c>
      <c r="H69" s="31" t="str">
        <f>IF(COUNTA(H70:H74)=0,"",COUNTIF(H70:H74,"Ya")/5*100)</f>
        <v/>
      </c>
      <c r="I69" s="31" t="str">
        <f>IF(COUNTA(I70:I74)=0,"",COUNTIF(I70:I74,"Ya")/5*100)</f>
        <v/>
      </c>
      <c r="J69" s="31" t="str">
        <f>IF(COUNTA(J70:J74)=0,"",COUNTIF(J70:J74,"Ya")/5*100)</f>
        <v/>
      </c>
      <c r="K69" s="31" t="str">
        <f>IF(COUNTA(K70:K74)=0,"",COUNTIF(K70:K74,"Ya")/5*100)</f>
        <v/>
      </c>
      <c r="L69" s="31" t="str">
        <f>IF(COUNTA(L70:L74)=0,"",COUNTIF(L70:L74,"Ya")/5*100)</f>
        <v/>
      </c>
      <c r="M69" s="31" t="str">
        <f>IF(COUNTA(M70:M74)=0,"",COUNTIF(M70:M74,"Ya")/5*100)</f>
        <v/>
      </c>
      <c r="N69" s="31" t="str">
        <f>IF(COUNTA(N70:N74)=0,"",COUNTIF(N70:N74,"Ya")/5*100)</f>
        <v/>
      </c>
      <c r="O69" s="31" t="str">
        <f>IF(COUNTA(O70:O74)=0,"",COUNTIF(O70:O74,"Ya")/5*100)</f>
        <v/>
      </c>
      <c r="P69" s="31" t="str">
        <f>IF(COUNTA(P70:P74)=0,"",COUNTIF(P70:P74,"Ya")/5*100)</f>
        <v/>
      </c>
      <c r="Q69" s="31" t="str">
        <f>IF(COUNTA(Q70:Q74)=0,"",COUNTIF(Q70:Q74,"Ya")/5*100)</f>
        <v/>
      </c>
      <c r="R69" s="31" t="str">
        <f>IF(COUNTA(R70:R74)=0,"",COUNTIF(R70:R74,"Ya")/5*100)</f>
        <v/>
      </c>
      <c r="S69" s="31" t="str">
        <f>IF(COUNTA(S70:S74)=0,"",COUNTIF(S70:S74,"Ya")/5*100)</f>
        <v/>
      </c>
      <c r="T69" s="31" t="str">
        <f>IF(COUNTA(T70:T74)=0,"",COUNTIF(T70:T74,"Ya")/5*100)</f>
        <v/>
      </c>
      <c r="U69" s="31" t="str">
        <f>IF(COUNTA(U70:U74)=0,"",COUNTIF(U70:U74,"Ya")/5*100)</f>
        <v/>
      </c>
      <c r="V69" s="31" t="str">
        <f>IF(COUNTA(V70:V74)=0,"",COUNTIF(V70:V74,"Ya")/5*100)</f>
        <v/>
      </c>
      <c r="W69" s="31" t="str">
        <f>IF(COUNTA(W70:W74)=0,"",COUNTIF(W70:W74,"Ya")/5*100)</f>
        <v/>
      </c>
      <c r="X69" s="31" t="str">
        <f>IF(COUNTA(X70:X74)=0,"",COUNTIF(X70:X74,"Ya")/5*100)</f>
        <v/>
      </c>
      <c r="Y69" s="31" t="str">
        <f>IF(COUNTA(Y70:Y74)=0,"",COUNTIF(Y70:Y74,"Ya")/5*100)</f>
        <v/>
      </c>
      <c r="Z69" s="31" t="str">
        <f>_xlfn.IFERROR(AVERAGE(E69:Y69),"")</f>
        <v/>
      </c>
    </row>
    <row r="70" spans="8:8" ht="25.0" customHeight="1">
      <c r="A70" s="32"/>
      <c r="B70" s="33" t="s">
        <v>59</v>
      </c>
      <c r="C70" s="34" t="s">
        <v>872</v>
      </c>
      <c r="D70" s="32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8:8" ht="25.0" customHeight="1">
      <c r="A71" s="32"/>
      <c r="B71" s="33" t="s">
        <v>61</v>
      </c>
      <c r="C71" s="34" t="s">
        <v>873</v>
      </c>
      <c r="D71" s="32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spans="8:8" ht="25.0" customHeight="1">
      <c r="A72" s="32"/>
      <c r="B72" s="33" t="s">
        <v>63</v>
      </c>
      <c r="C72" s="34" t="s">
        <v>874</v>
      </c>
      <c r="D72" s="32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8:8" ht="25.0" customHeight="1">
      <c r="A73" s="32"/>
      <c r="B73" s="33" t="s">
        <v>65</v>
      </c>
      <c r="C73" s="34" t="s">
        <v>875</v>
      </c>
      <c r="D73" s="32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8:8" ht="25.0" customHeight="1">
      <c r="A74" s="32"/>
      <c r="B74" s="33" t="s">
        <v>67</v>
      </c>
      <c r="C74" s="34" t="s">
        <v>876</v>
      </c>
      <c r="D74" s="32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8:8" ht="28.0" customHeight="1">
      <c r="A75" s="28"/>
      <c r="B75" s="29" t="s">
        <v>69</v>
      </c>
      <c r="C75" s="30" t="s">
        <v>877</v>
      </c>
      <c r="D75" s="29">
        <v>4.0</v>
      </c>
      <c r="E75" s="31" t="str">
        <f>IF(COUNTA(E76:E80)=0,"",COUNTIF(E76:E80,"Ya")/5*100)</f>
        <v/>
      </c>
      <c r="F75" s="31" t="str">
        <f>IF(COUNTA(F76:F80)=0,"",COUNTIF(F76:F80,"Ya")/5*100)</f>
        <v/>
      </c>
      <c r="G75" s="31" t="str">
        <f>IF(COUNTA(G76:G80)=0,"",COUNTIF(G76:G80,"Ya")/5*100)</f>
        <v/>
      </c>
      <c r="H75" s="31" t="str">
        <f>IF(COUNTA(H76:H80)=0,"",COUNTIF(H76:H80,"Ya")/5*100)</f>
        <v/>
      </c>
      <c r="I75" s="31" t="str">
        <f>IF(COUNTA(I76:I80)=0,"",COUNTIF(I76:I80,"Ya")/5*100)</f>
        <v/>
      </c>
      <c r="J75" s="31" t="str">
        <f>IF(COUNTA(J76:J80)=0,"",COUNTIF(J76:J80,"Ya")/5*100)</f>
        <v/>
      </c>
      <c r="K75" s="31" t="str">
        <f>IF(COUNTA(K76:K80)=0,"",COUNTIF(K76:K80,"Ya")/5*100)</f>
        <v/>
      </c>
      <c r="L75" s="31" t="str">
        <f>IF(COUNTA(L76:L80)=0,"",COUNTIF(L76:L80,"Ya")/5*100)</f>
        <v/>
      </c>
      <c r="M75" s="31" t="str">
        <f>IF(COUNTA(M76:M80)=0,"",COUNTIF(M76:M80,"Ya")/5*100)</f>
        <v/>
      </c>
      <c r="N75" s="31" t="str">
        <f>IF(COUNTA(N76:N80)=0,"",COUNTIF(N76:N80,"Ya")/5*100)</f>
        <v/>
      </c>
      <c r="O75" s="31" t="str">
        <f>IF(COUNTA(O76:O80)=0,"",COUNTIF(O76:O80,"Ya")/5*100)</f>
        <v/>
      </c>
      <c r="P75" s="31" t="str">
        <f>IF(COUNTA(P76:P80)=0,"",COUNTIF(P76:P80,"Ya")/5*100)</f>
        <v/>
      </c>
      <c r="Q75" s="31" t="str">
        <f>IF(COUNTA(Q76:Q80)=0,"",COUNTIF(Q76:Q80,"Ya")/5*100)</f>
        <v/>
      </c>
      <c r="R75" s="31" t="str">
        <f>IF(COUNTA(R76:R80)=0,"",COUNTIF(R76:R80,"Ya")/5*100)</f>
        <v/>
      </c>
      <c r="S75" s="31" t="str">
        <f>IF(COUNTA(S76:S80)=0,"",COUNTIF(S76:S80,"Ya")/5*100)</f>
        <v/>
      </c>
      <c r="T75" s="31" t="str">
        <f>IF(COUNTA(T76:T80)=0,"",COUNTIF(T76:T80,"Ya")/5*100)</f>
        <v/>
      </c>
      <c r="U75" s="31" t="str">
        <f>IF(COUNTA(U76:U80)=0,"",COUNTIF(U76:U80,"Ya")/5*100)</f>
        <v/>
      </c>
      <c r="V75" s="31" t="str">
        <f>IF(COUNTA(V76:V80)=0,"",COUNTIF(V76:V80,"Ya")/5*100)</f>
        <v/>
      </c>
      <c r="W75" s="31" t="str">
        <f>IF(COUNTA(W76:W80)=0,"",COUNTIF(W76:W80,"Ya")/5*100)</f>
        <v/>
      </c>
      <c r="X75" s="31" t="str">
        <f>IF(COUNTA(X76:X80)=0,"",COUNTIF(X76:X80,"Ya")/5*100)</f>
        <v/>
      </c>
      <c r="Y75" s="31" t="str">
        <f>IF(COUNTA(Y76:Y80)=0,"",COUNTIF(Y76:Y80,"Ya")/5*100)</f>
        <v/>
      </c>
      <c r="Z75" s="31" t="str">
        <f>_xlfn.IFERROR(AVERAGE(E75:Y75),"")</f>
        <v/>
      </c>
    </row>
    <row r="76" spans="8:8" ht="25.0" customHeight="1">
      <c r="A76" s="32"/>
      <c r="B76" s="33" t="s">
        <v>71</v>
      </c>
      <c r="C76" s="34" t="s">
        <v>878</v>
      </c>
      <c r="D76" s="32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8:8" ht="14.0" customHeight="1">
      <c r="A77" s="32"/>
      <c r="B77" s="33" t="s">
        <v>73</v>
      </c>
      <c r="C77" s="34" t="s">
        <v>879</v>
      </c>
      <c r="D77" s="32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spans="8:8" ht="25.0" customHeight="1">
      <c r="A78" s="32"/>
      <c r="B78" s="33" t="s">
        <v>75</v>
      </c>
      <c r="C78" s="34" t="s">
        <v>880</v>
      </c>
      <c r="D78" s="32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8:8" ht="25.0" customHeight="1">
      <c r="A79" s="32"/>
      <c r="B79" s="33" t="s">
        <v>77</v>
      </c>
      <c r="C79" s="34" t="s">
        <v>881</v>
      </c>
      <c r="D79" s="32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8:8" ht="25.0" customHeight="1">
      <c r="A80" s="32"/>
      <c r="B80" s="33" t="s">
        <v>79</v>
      </c>
      <c r="C80" s="34" t="s">
        <v>882</v>
      </c>
      <c r="D80" s="32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8:8" ht="40.0" customHeight="1">
      <c r="A81" s="28"/>
      <c r="B81" s="29" t="s">
        <v>81</v>
      </c>
      <c r="C81" s="30" t="s">
        <v>883</v>
      </c>
      <c r="D81" s="29">
        <v>4.0</v>
      </c>
      <c r="E81" s="31" t="str">
        <f>IF(COUNTA(E82:E86)=0,"",COUNTIF(E82:E86,"Ya")/5*100)</f>
        <v/>
      </c>
      <c r="F81" s="31" t="str">
        <f>IF(COUNTA(F82:F86)=0,"",COUNTIF(F82:F86,"Ya")/5*100)</f>
        <v/>
      </c>
      <c r="G81" s="31" t="str">
        <f>IF(COUNTA(G82:G86)=0,"",COUNTIF(G82:G86,"Ya")/5*100)</f>
        <v/>
      </c>
      <c r="H81" s="31" t="str">
        <f>IF(COUNTA(H82:H86)=0,"",COUNTIF(H82:H86,"Ya")/5*100)</f>
        <v/>
      </c>
      <c r="I81" s="31" t="str">
        <f>IF(COUNTA(I82:I86)=0,"",COUNTIF(I82:I86,"Ya")/5*100)</f>
        <v/>
      </c>
      <c r="J81" s="31" t="str">
        <f>IF(COUNTA(J82:J86)=0,"",COUNTIF(J82:J86,"Ya")/5*100)</f>
        <v/>
      </c>
      <c r="K81" s="31" t="str">
        <f>IF(COUNTA(K82:K86)=0,"",COUNTIF(K82:K86,"Ya")/5*100)</f>
        <v/>
      </c>
      <c r="L81" s="31" t="str">
        <f>IF(COUNTA(L82:L86)=0,"",COUNTIF(L82:L86,"Ya")/5*100)</f>
        <v/>
      </c>
      <c r="M81" s="31" t="str">
        <f>IF(COUNTA(M82:M86)=0,"",COUNTIF(M82:M86,"Ya")/5*100)</f>
        <v/>
      </c>
      <c r="N81" s="31" t="str">
        <f>IF(COUNTA(N82:N86)=0,"",COUNTIF(N82:N86,"Ya")/5*100)</f>
        <v/>
      </c>
      <c r="O81" s="31" t="str">
        <f>IF(COUNTA(O82:O86)=0,"",COUNTIF(O82:O86,"Ya")/5*100)</f>
        <v/>
      </c>
      <c r="P81" s="31" t="str">
        <f>IF(COUNTA(P82:P86)=0,"",COUNTIF(P82:P86,"Ya")/5*100)</f>
        <v/>
      </c>
      <c r="Q81" s="31" t="str">
        <f>IF(COUNTA(Q82:Q86)=0,"",COUNTIF(Q82:Q86,"Ya")/5*100)</f>
        <v/>
      </c>
      <c r="R81" s="31" t="str">
        <f>IF(COUNTA(R82:R86)=0,"",COUNTIF(R82:R86,"Ya")/5*100)</f>
        <v/>
      </c>
      <c r="S81" s="31" t="str">
        <f>IF(COUNTA(S82:S86)=0,"",COUNTIF(S82:S86,"Ya")/5*100)</f>
        <v/>
      </c>
      <c r="T81" s="31" t="str">
        <f>IF(COUNTA(T82:T86)=0,"",COUNTIF(T82:T86,"Ya")/5*100)</f>
        <v/>
      </c>
      <c r="U81" s="31" t="str">
        <f>IF(COUNTA(U82:U86)=0,"",COUNTIF(U82:U86,"Ya")/5*100)</f>
        <v/>
      </c>
      <c r="V81" s="31" t="str">
        <f>IF(COUNTA(V82:V86)=0,"",COUNTIF(V82:V86,"Ya")/5*100)</f>
        <v/>
      </c>
      <c r="W81" s="31" t="str">
        <f>IF(COUNTA(W82:W86)=0,"",COUNTIF(W82:W86,"Ya")/5*100)</f>
        <v/>
      </c>
      <c r="X81" s="31" t="str">
        <f>IF(COUNTA(X82:X86)=0,"",COUNTIF(X82:X86,"Ya")/5*100)</f>
        <v/>
      </c>
      <c r="Y81" s="31" t="str">
        <f>IF(COUNTA(Y82:Y86)=0,"",COUNTIF(Y82:Y86,"Ya")/5*100)</f>
        <v/>
      </c>
      <c r="Z81" s="31" t="str">
        <f>_xlfn.IFERROR(AVERAGE(E81:Y81),"")</f>
        <v/>
      </c>
    </row>
    <row r="82" spans="8:8" ht="25.0" customHeight="1">
      <c r="A82" s="32"/>
      <c r="B82" s="33" t="s">
        <v>83</v>
      </c>
      <c r="C82" s="34" t="s">
        <v>884</v>
      </c>
      <c r="D82" s="32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8:8" ht="25.0" customHeight="1">
      <c r="A83" s="32"/>
      <c r="B83" s="33" t="s">
        <v>85</v>
      </c>
      <c r="C83" s="34" t="s">
        <v>885</v>
      </c>
      <c r="D83" s="32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spans="8:8" ht="25.0" customHeight="1">
      <c r="A84" s="32"/>
      <c r="B84" s="33" t="s">
        <v>87</v>
      </c>
      <c r="C84" s="34" t="s">
        <v>886</v>
      </c>
      <c r="D84" s="32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8:8" ht="25.0" customHeight="1">
      <c r="A85" s="32"/>
      <c r="B85" s="33" t="s">
        <v>89</v>
      </c>
      <c r="C85" s="34" t="s">
        <v>887</v>
      </c>
      <c r="D85" s="32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8:8" ht="25.0" customHeight="1">
      <c r="A86" s="32"/>
      <c r="B86" s="33" t="s">
        <v>91</v>
      </c>
      <c r="C86" s="34" t="s">
        <v>888</v>
      </c>
      <c r="D86" s="32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8:8" ht="28.0" customHeight="1">
      <c r="A87" s="28"/>
      <c r="B87" s="29" t="s">
        <v>93</v>
      </c>
      <c r="C87" s="30" t="s">
        <v>889</v>
      </c>
      <c r="D87" s="29">
        <v>4.0</v>
      </c>
      <c r="E87" s="31" t="str">
        <f>IF(COUNTA(E88:E92)=0,"",COUNTIF(E88:E92,"Ya")/5*100)</f>
        <v/>
      </c>
      <c r="F87" s="31" t="str">
        <f>IF(COUNTA(F88:F92)=0,"",COUNTIF(F88:F92,"Ya")/5*100)</f>
        <v/>
      </c>
      <c r="G87" s="31" t="str">
        <f>IF(COUNTA(G88:G92)=0,"",COUNTIF(G88:G92,"Ya")/5*100)</f>
        <v/>
      </c>
      <c r="H87" s="31" t="str">
        <f>IF(COUNTA(H88:H92)=0,"",COUNTIF(H88:H92,"Ya")/5*100)</f>
        <v/>
      </c>
      <c r="I87" s="31" t="str">
        <f>IF(COUNTA(I88:I92)=0,"",COUNTIF(I88:I92,"Ya")/5*100)</f>
        <v/>
      </c>
      <c r="J87" s="31" t="str">
        <f>IF(COUNTA(J88:J92)=0,"",COUNTIF(J88:J92,"Ya")/5*100)</f>
        <v/>
      </c>
      <c r="K87" s="31" t="str">
        <f>IF(COUNTA(K88:K92)=0,"",COUNTIF(K88:K92,"Ya")/5*100)</f>
        <v/>
      </c>
      <c r="L87" s="31" t="str">
        <f>IF(COUNTA(L88:L92)=0,"",COUNTIF(L88:L92,"Ya")/5*100)</f>
        <v/>
      </c>
      <c r="M87" s="31" t="str">
        <f>IF(COUNTA(M88:M92)=0,"",COUNTIF(M88:M92,"Ya")/5*100)</f>
        <v/>
      </c>
      <c r="N87" s="31" t="str">
        <f>IF(COUNTA(N88:N92)=0,"",COUNTIF(N88:N92,"Ya")/5*100)</f>
        <v/>
      </c>
      <c r="O87" s="31" t="str">
        <f>IF(COUNTA(O88:O92)=0,"",COUNTIF(O88:O92,"Ya")/5*100)</f>
        <v/>
      </c>
      <c r="P87" s="31" t="str">
        <f>IF(COUNTA(P88:P92)=0,"",COUNTIF(P88:P92,"Ya")/5*100)</f>
        <v/>
      </c>
      <c r="Q87" s="31" t="str">
        <f>IF(COUNTA(Q88:Q92)=0,"",COUNTIF(Q88:Q92,"Ya")/5*100)</f>
        <v/>
      </c>
      <c r="R87" s="31" t="str">
        <f>IF(COUNTA(R88:R92)=0,"",COUNTIF(R88:R92,"Ya")/5*100)</f>
        <v/>
      </c>
      <c r="S87" s="31" t="str">
        <f>IF(COUNTA(S88:S92)=0,"",COUNTIF(S88:S92,"Ya")/5*100)</f>
        <v/>
      </c>
      <c r="T87" s="31" t="str">
        <f>IF(COUNTA(T88:T92)=0,"",COUNTIF(T88:T92,"Ya")/5*100)</f>
        <v/>
      </c>
      <c r="U87" s="31" t="str">
        <f>IF(COUNTA(U88:U92)=0,"",COUNTIF(U88:U92,"Ya")/5*100)</f>
        <v/>
      </c>
      <c r="V87" s="31" t="str">
        <f>IF(COUNTA(V88:V92)=0,"",COUNTIF(V88:V92,"Ya")/5*100)</f>
        <v/>
      </c>
      <c r="W87" s="31" t="str">
        <f>IF(COUNTA(W88:W92)=0,"",COUNTIF(W88:W92,"Ya")/5*100)</f>
        <v/>
      </c>
      <c r="X87" s="31" t="str">
        <f>IF(COUNTA(X88:X92)=0,"",COUNTIF(X88:X92,"Ya")/5*100)</f>
        <v/>
      </c>
      <c r="Y87" s="31" t="str">
        <f>IF(COUNTA(Y88:Y92)=0,"",COUNTIF(Y88:Y92,"Ya")/5*100)</f>
        <v/>
      </c>
      <c r="Z87" s="31" t="str">
        <f>_xlfn.IFERROR(AVERAGE(E87:Y87),"")</f>
        <v/>
      </c>
    </row>
    <row r="88" spans="8:8" ht="25.0" customHeight="1">
      <c r="A88" s="32"/>
      <c r="B88" s="33" t="s">
        <v>95</v>
      </c>
      <c r="C88" s="34" t="s">
        <v>890</v>
      </c>
      <c r="D88" s="32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spans="8:8" ht="25.0" customHeight="1">
      <c r="A89" s="32"/>
      <c r="B89" s="33" t="s">
        <v>97</v>
      </c>
      <c r="C89" s="34" t="s">
        <v>891</v>
      </c>
      <c r="D89" s="32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spans="8:8" ht="25.0" customHeight="1">
      <c r="A90" s="32"/>
      <c r="B90" s="33" t="s">
        <v>99</v>
      </c>
      <c r="C90" s="34" t="s">
        <v>892</v>
      </c>
      <c r="D90" s="32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spans="8:8" ht="25.0" customHeight="1">
      <c r="A91" s="32"/>
      <c r="B91" s="33" t="s">
        <v>101</v>
      </c>
      <c r="C91" s="34" t="s">
        <v>893</v>
      </c>
      <c r="D91" s="32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spans="8:8" ht="25.0" customHeight="1">
      <c r="A92" s="32"/>
      <c r="B92" s="33" t="s">
        <v>103</v>
      </c>
      <c r="C92" s="34" t="s">
        <v>894</v>
      </c>
      <c r="D92" s="32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spans="8:8" ht="28.0" customHeight="1">
      <c r="A93" s="28"/>
      <c r="B93" s="29" t="s">
        <v>107</v>
      </c>
      <c r="C93" s="30" t="s">
        <v>895</v>
      </c>
      <c r="D93" s="29">
        <v>4.0</v>
      </c>
      <c r="E93" s="31" t="str">
        <f>IF(COUNTA(E94:E98)=0,"",COUNTIF(E94:E98,"Ya")/5*100)</f>
        <v/>
      </c>
      <c r="F93" s="31" t="str">
        <f>IF(COUNTA(F94:F98)=0,"",COUNTIF(F94:F98,"Ya")/5*100)</f>
        <v/>
      </c>
      <c r="G93" s="31" t="str">
        <f>IF(COUNTA(G94:G98)=0,"",COUNTIF(G94:G98,"Ya")/5*100)</f>
        <v/>
      </c>
      <c r="H93" s="31" t="str">
        <f>IF(COUNTA(H94:H98)=0,"",COUNTIF(H94:H98,"Ya")/5*100)</f>
        <v/>
      </c>
      <c r="I93" s="31" t="str">
        <f>IF(COUNTA(I94:I98)=0,"",COUNTIF(I94:I98,"Ya")/5*100)</f>
        <v/>
      </c>
      <c r="J93" s="31" t="str">
        <f>IF(COUNTA(J94:J98)=0,"",COUNTIF(J94:J98,"Ya")/5*100)</f>
        <v/>
      </c>
      <c r="K93" s="31" t="str">
        <f>IF(COUNTA(K94:K98)=0,"",COUNTIF(K94:K98,"Ya")/5*100)</f>
        <v/>
      </c>
      <c r="L93" s="31" t="str">
        <f>IF(COUNTA(L94:L98)=0,"",COUNTIF(L94:L98,"Ya")/5*100)</f>
        <v/>
      </c>
      <c r="M93" s="31" t="str">
        <f>IF(COUNTA(M94:M98)=0,"",COUNTIF(M94:M98,"Ya")/5*100)</f>
        <v/>
      </c>
      <c r="N93" s="31" t="str">
        <f>IF(COUNTA(N94:N98)=0,"",COUNTIF(N94:N98,"Ya")/5*100)</f>
        <v/>
      </c>
      <c r="O93" s="31" t="str">
        <f>IF(COUNTA(O94:O98)=0,"",COUNTIF(O94:O98,"Ya")/5*100)</f>
        <v/>
      </c>
      <c r="P93" s="31" t="str">
        <f>IF(COUNTA(P94:P98)=0,"",COUNTIF(P94:P98,"Ya")/5*100)</f>
        <v/>
      </c>
      <c r="Q93" s="31" t="str">
        <f>IF(COUNTA(Q94:Q98)=0,"",COUNTIF(Q94:Q98,"Ya")/5*100)</f>
        <v/>
      </c>
      <c r="R93" s="31" t="str">
        <f>IF(COUNTA(R94:R98)=0,"",COUNTIF(R94:R98,"Ya")/5*100)</f>
        <v/>
      </c>
      <c r="S93" s="31" t="str">
        <f>IF(COUNTA(S94:S98)=0,"",COUNTIF(S94:S98,"Ya")/5*100)</f>
        <v/>
      </c>
      <c r="T93" s="31" t="str">
        <f>IF(COUNTA(T94:T98)=0,"",COUNTIF(T94:T98,"Ya")/5*100)</f>
        <v/>
      </c>
      <c r="U93" s="31" t="str">
        <f>IF(COUNTA(U94:U98)=0,"",COUNTIF(U94:U98,"Ya")/5*100)</f>
        <v/>
      </c>
      <c r="V93" s="31" t="str">
        <f>IF(COUNTA(V94:V98)=0,"",COUNTIF(V94:V98,"Ya")/5*100)</f>
        <v/>
      </c>
      <c r="W93" s="31" t="str">
        <f>IF(COUNTA(W94:W98)=0,"",COUNTIF(W94:W98,"Ya")/5*100)</f>
        <v/>
      </c>
      <c r="X93" s="31" t="str">
        <f>IF(COUNTA(X94:X98)=0,"",COUNTIF(X94:X98,"Ya")/5*100)</f>
        <v/>
      </c>
      <c r="Y93" s="31" t="str">
        <f>IF(COUNTA(Y94:Y98)=0,"",COUNTIF(Y94:Y98,"Ya")/5*100)</f>
        <v/>
      </c>
      <c r="Z93" s="31" t="str">
        <f>_xlfn.IFERROR(AVERAGE(E93:Y93),"")</f>
        <v/>
      </c>
    </row>
    <row r="94" spans="8:8" ht="25.0" customHeight="1">
      <c r="A94" s="32"/>
      <c r="B94" s="33" t="s">
        <v>109</v>
      </c>
      <c r="C94" s="34" t="s">
        <v>896</v>
      </c>
      <c r="D94" s="32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spans="8:8" ht="25.0" customHeight="1">
      <c r="A95" s="32"/>
      <c r="B95" s="33" t="s">
        <v>111</v>
      </c>
      <c r="C95" s="34" t="s">
        <v>897</v>
      </c>
      <c r="D95" s="32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spans="8:8" ht="25.0" customHeight="1">
      <c r="A96" s="32"/>
      <c r="B96" s="33" t="s">
        <v>113</v>
      </c>
      <c r="C96" s="34" t="s">
        <v>898</v>
      </c>
      <c r="D96" s="32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spans="8:8" ht="25.0" customHeight="1">
      <c r="A97" s="32"/>
      <c r="B97" s="33" t="s">
        <v>115</v>
      </c>
      <c r="C97" s="34" t="s">
        <v>899</v>
      </c>
      <c r="D97" s="32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spans="8:8" ht="25.0" customHeight="1">
      <c r="A98" s="32"/>
      <c r="B98" s="33" t="s">
        <v>117</v>
      </c>
      <c r="C98" s="34" t="s">
        <v>900</v>
      </c>
      <c r="D98" s="32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spans="8:8" ht="18.0" customHeight="1">
      <c r="A99" s="36"/>
      <c r="B99" s="36"/>
      <c r="C99" s="37" t="s">
        <v>901</v>
      </c>
      <c r="D99" s="38">
        <v>20.0</v>
      </c>
      <c r="E99" s="39" t="str">
        <f>IF((IF(ISNUMBER(E69),4,0)+IF(ISNUMBER(E75),4,0)+IF(ISNUMBER(E81),4,0)+IF(ISNUMBER(E87),4,0)+IF(ISNUMBER(E93),4,0))=0,"",(IF(ISNUMBER(E69),E69*4,0)+IF(ISNUMBER(E75),E75*4,0)+IF(ISNUMBER(E81),E81*4,0)+IF(ISNUMBER(E87),E87*4,0)+IF(ISNUMBER(E93),E93*4,0))/(IF(ISNUMBER(E69),4,0)+IF(ISNUMBER(E75),4,0)+IF(ISNUMBER(E81),4,0)+IF(ISNUMBER(E87),4,0)+IF(ISNUMBER(E93),4,0)))</f>
        <v/>
      </c>
      <c r="F99" s="39" t="str">
        <f>IF((IF(ISNUMBER(F69),4,0)+IF(ISNUMBER(F75),4,0)+IF(ISNUMBER(F81),4,0)+IF(ISNUMBER(F87),4,0)+IF(ISNUMBER(F93),4,0))=0,"",(IF(ISNUMBER(F69),F69*4,0)+IF(ISNUMBER(F75),F75*4,0)+IF(ISNUMBER(F81),F81*4,0)+IF(ISNUMBER(F87),F87*4,0)+IF(ISNUMBER(F93),F93*4,0))/(IF(ISNUMBER(F69),4,0)+IF(ISNUMBER(F75),4,0)+IF(ISNUMBER(F81),4,0)+IF(ISNUMBER(F87),4,0)+IF(ISNUMBER(F93),4,0)))</f>
        <v/>
      </c>
      <c r="G99" s="39" t="str">
        <f>IF((IF(ISNUMBER(G69),4,0)+IF(ISNUMBER(G75),4,0)+IF(ISNUMBER(G81),4,0)+IF(ISNUMBER(G87),4,0)+IF(ISNUMBER(G93),4,0))=0,"",(IF(ISNUMBER(G69),G69*4,0)+IF(ISNUMBER(G75),G75*4,0)+IF(ISNUMBER(G81),G81*4,0)+IF(ISNUMBER(G87),G87*4,0)+IF(ISNUMBER(G93),G93*4,0))/(IF(ISNUMBER(G69),4,0)+IF(ISNUMBER(G75),4,0)+IF(ISNUMBER(G81),4,0)+IF(ISNUMBER(G87),4,0)+IF(ISNUMBER(G93),4,0)))</f>
        <v/>
      </c>
      <c r="H99" s="39" t="str">
        <f>IF((IF(ISNUMBER(H69),4,0)+IF(ISNUMBER(H75),4,0)+IF(ISNUMBER(H81),4,0)+IF(ISNUMBER(H87),4,0)+IF(ISNUMBER(H93),4,0))=0,"",(IF(ISNUMBER(H69),H69*4,0)+IF(ISNUMBER(H75),H75*4,0)+IF(ISNUMBER(H81),H81*4,0)+IF(ISNUMBER(H87),H87*4,0)+IF(ISNUMBER(H93),H93*4,0))/(IF(ISNUMBER(H69),4,0)+IF(ISNUMBER(H75),4,0)+IF(ISNUMBER(H81),4,0)+IF(ISNUMBER(H87),4,0)+IF(ISNUMBER(H93),4,0)))</f>
        <v/>
      </c>
      <c r="I99" s="39" t="str">
        <f>IF((IF(ISNUMBER(I69),4,0)+IF(ISNUMBER(I75),4,0)+IF(ISNUMBER(I81),4,0)+IF(ISNUMBER(I87),4,0)+IF(ISNUMBER(I93),4,0))=0,"",(IF(ISNUMBER(I69),I69*4,0)+IF(ISNUMBER(I75),I75*4,0)+IF(ISNUMBER(I81),I81*4,0)+IF(ISNUMBER(I87),I87*4,0)+IF(ISNUMBER(I93),I93*4,0))/(IF(ISNUMBER(I69),4,0)+IF(ISNUMBER(I75),4,0)+IF(ISNUMBER(I81),4,0)+IF(ISNUMBER(I87),4,0)+IF(ISNUMBER(I93),4,0)))</f>
        <v/>
      </c>
      <c r="J99" s="39" t="str">
        <f>IF((IF(ISNUMBER(J69),4,0)+IF(ISNUMBER(J75),4,0)+IF(ISNUMBER(J81),4,0)+IF(ISNUMBER(J87),4,0)+IF(ISNUMBER(J93),4,0))=0,"",(IF(ISNUMBER(J69),J69*4,0)+IF(ISNUMBER(J75),J75*4,0)+IF(ISNUMBER(J81),J81*4,0)+IF(ISNUMBER(J87),J87*4,0)+IF(ISNUMBER(J93),J93*4,0))/(IF(ISNUMBER(J69),4,0)+IF(ISNUMBER(J75),4,0)+IF(ISNUMBER(J81),4,0)+IF(ISNUMBER(J87),4,0)+IF(ISNUMBER(J93),4,0)))</f>
        <v/>
      </c>
      <c r="K99" s="39" t="str">
        <f>IF((IF(ISNUMBER(K69),4,0)+IF(ISNUMBER(K75),4,0)+IF(ISNUMBER(K81),4,0)+IF(ISNUMBER(K87),4,0)+IF(ISNUMBER(K93),4,0))=0,"",(IF(ISNUMBER(K69),K69*4,0)+IF(ISNUMBER(K75),K75*4,0)+IF(ISNUMBER(K81),K81*4,0)+IF(ISNUMBER(K87),K87*4,0)+IF(ISNUMBER(K93),K93*4,0))/(IF(ISNUMBER(K69),4,0)+IF(ISNUMBER(K75),4,0)+IF(ISNUMBER(K81),4,0)+IF(ISNUMBER(K87),4,0)+IF(ISNUMBER(K93),4,0)))</f>
        <v/>
      </c>
      <c r="L99" s="39" t="str">
        <f>IF((IF(ISNUMBER(L69),4,0)+IF(ISNUMBER(L75),4,0)+IF(ISNUMBER(L81),4,0)+IF(ISNUMBER(L87),4,0)+IF(ISNUMBER(L93),4,0))=0,"",(IF(ISNUMBER(L69),L69*4,0)+IF(ISNUMBER(L75),L75*4,0)+IF(ISNUMBER(L81),L81*4,0)+IF(ISNUMBER(L87),L87*4,0)+IF(ISNUMBER(L93),L93*4,0))/(IF(ISNUMBER(L69),4,0)+IF(ISNUMBER(L75),4,0)+IF(ISNUMBER(L81),4,0)+IF(ISNUMBER(L87),4,0)+IF(ISNUMBER(L93),4,0)))</f>
        <v/>
      </c>
      <c r="M99" s="39" t="str">
        <f>IF((IF(ISNUMBER(M69),4,0)+IF(ISNUMBER(M75),4,0)+IF(ISNUMBER(M81),4,0)+IF(ISNUMBER(M87),4,0)+IF(ISNUMBER(M93),4,0))=0,"",(IF(ISNUMBER(M69),M69*4,0)+IF(ISNUMBER(M75),M75*4,0)+IF(ISNUMBER(M81),M81*4,0)+IF(ISNUMBER(M87),M87*4,0)+IF(ISNUMBER(M93),M93*4,0))/(IF(ISNUMBER(M69),4,0)+IF(ISNUMBER(M75),4,0)+IF(ISNUMBER(M81),4,0)+IF(ISNUMBER(M87),4,0)+IF(ISNUMBER(M93),4,0)))</f>
        <v/>
      </c>
      <c r="N99" s="39" t="str">
        <f>IF((IF(ISNUMBER(N69),4,0)+IF(ISNUMBER(N75),4,0)+IF(ISNUMBER(N81),4,0)+IF(ISNUMBER(N87),4,0)+IF(ISNUMBER(N93),4,0))=0,"",(IF(ISNUMBER(N69),N69*4,0)+IF(ISNUMBER(N75),N75*4,0)+IF(ISNUMBER(N81),N81*4,0)+IF(ISNUMBER(N87),N87*4,0)+IF(ISNUMBER(N93),N93*4,0))/(IF(ISNUMBER(N69),4,0)+IF(ISNUMBER(N75),4,0)+IF(ISNUMBER(N81),4,0)+IF(ISNUMBER(N87),4,0)+IF(ISNUMBER(N93),4,0)))</f>
        <v/>
      </c>
      <c r="O99" s="39" t="str">
        <f>IF((IF(ISNUMBER(O69),4,0)+IF(ISNUMBER(O75),4,0)+IF(ISNUMBER(O81),4,0)+IF(ISNUMBER(O87),4,0)+IF(ISNUMBER(O93),4,0))=0,"",(IF(ISNUMBER(O69),O69*4,0)+IF(ISNUMBER(O75),O75*4,0)+IF(ISNUMBER(O81),O81*4,0)+IF(ISNUMBER(O87),O87*4,0)+IF(ISNUMBER(O93),O93*4,0))/(IF(ISNUMBER(O69),4,0)+IF(ISNUMBER(O75),4,0)+IF(ISNUMBER(O81),4,0)+IF(ISNUMBER(O87),4,0)+IF(ISNUMBER(O93),4,0)))</f>
        <v/>
      </c>
      <c r="P99" s="39" t="str">
        <f>IF((IF(ISNUMBER(P69),4,0)+IF(ISNUMBER(P75),4,0)+IF(ISNUMBER(P81),4,0)+IF(ISNUMBER(P87),4,0)+IF(ISNUMBER(P93),4,0))=0,"",(IF(ISNUMBER(P69),P69*4,0)+IF(ISNUMBER(P75),P75*4,0)+IF(ISNUMBER(P81),P81*4,0)+IF(ISNUMBER(P87),P87*4,0)+IF(ISNUMBER(P93),P93*4,0))/(IF(ISNUMBER(P69),4,0)+IF(ISNUMBER(P75),4,0)+IF(ISNUMBER(P81),4,0)+IF(ISNUMBER(P87),4,0)+IF(ISNUMBER(P93),4,0)))</f>
        <v/>
      </c>
      <c r="Q99" s="39" t="str">
        <f>IF((IF(ISNUMBER(Q69),4,0)+IF(ISNUMBER(Q75),4,0)+IF(ISNUMBER(Q81),4,0)+IF(ISNUMBER(Q87),4,0)+IF(ISNUMBER(Q93),4,0))=0,"",(IF(ISNUMBER(Q69),Q69*4,0)+IF(ISNUMBER(Q75),Q75*4,0)+IF(ISNUMBER(Q81),Q81*4,0)+IF(ISNUMBER(Q87),Q87*4,0)+IF(ISNUMBER(Q93),Q93*4,0))/(IF(ISNUMBER(Q69),4,0)+IF(ISNUMBER(Q75),4,0)+IF(ISNUMBER(Q81),4,0)+IF(ISNUMBER(Q87),4,0)+IF(ISNUMBER(Q93),4,0)))</f>
        <v/>
      </c>
      <c r="R99" s="39" t="str">
        <f>IF((IF(ISNUMBER(R69),4,0)+IF(ISNUMBER(R75),4,0)+IF(ISNUMBER(R81),4,0)+IF(ISNUMBER(R87),4,0)+IF(ISNUMBER(R93),4,0))=0,"",(IF(ISNUMBER(R69),R69*4,0)+IF(ISNUMBER(R75),R75*4,0)+IF(ISNUMBER(R81),R81*4,0)+IF(ISNUMBER(R87),R87*4,0)+IF(ISNUMBER(R93),R93*4,0))/(IF(ISNUMBER(R69),4,0)+IF(ISNUMBER(R75),4,0)+IF(ISNUMBER(R81),4,0)+IF(ISNUMBER(R87),4,0)+IF(ISNUMBER(R93),4,0)))</f>
        <v/>
      </c>
      <c r="S99" s="39" t="str">
        <f>IF((IF(ISNUMBER(S69),4,0)+IF(ISNUMBER(S75),4,0)+IF(ISNUMBER(S81),4,0)+IF(ISNUMBER(S87),4,0)+IF(ISNUMBER(S93),4,0))=0,"",(IF(ISNUMBER(S69),S69*4,0)+IF(ISNUMBER(S75),S75*4,0)+IF(ISNUMBER(S81),S81*4,0)+IF(ISNUMBER(S87),S87*4,0)+IF(ISNUMBER(S93),S93*4,0))/(IF(ISNUMBER(S69),4,0)+IF(ISNUMBER(S75),4,0)+IF(ISNUMBER(S81),4,0)+IF(ISNUMBER(S87),4,0)+IF(ISNUMBER(S93),4,0)))</f>
        <v/>
      </c>
      <c r="T99" s="39" t="str">
        <f>IF((IF(ISNUMBER(T69),4,0)+IF(ISNUMBER(T75),4,0)+IF(ISNUMBER(T81),4,0)+IF(ISNUMBER(T87),4,0)+IF(ISNUMBER(T93),4,0))=0,"",(IF(ISNUMBER(T69),T69*4,0)+IF(ISNUMBER(T75),T75*4,0)+IF(ISNUMBER(T81),T81*4,0)+IF(ISNUMBER(T87),T87*4,0)+IF(ISNUMBER(T93),T93*4,0))/(IF(ISNUMBER(T69),4,0)+IF(ISNUMBER(T75),4,0)+IF(ISNUMBER(T81),4,0)+IF(ISNUMBER(T87),4,0)+IF(ISNUMBER(T93),4,0)))</f>
        <v/>
      </c>
      <c r="U99" s="39" t="str">
        <f>IF((IF(ISNUMBER(U69),4,0)+IF(ISNUMBER(U75),4,0)+IF(ISNUMBER(U81),4,0)+IF(ISNUMBER(U87),4,0)+IF(ISNUMBER(U93),4,0))=0,"",(IF(ISNUMBER(U69),U69*4,0)+IF(ISNUMBER(U75),U75*4,0)+IF(ISNUMBER(U81),U81*4,0)+IF(ISNUMBER(U87),U87*4,0)+IF(ISNUMBER(U93),U93*4,0))/(IF(ISNUMBER(U69),4,0)+IF(ISNUMBER(U75),4,0)+IF(ISNUMBER(U81),4,0)+IF(ISNUMBER(U87),4,0)+IF(ISNUMBER(U93),4,0)))</f>
        <v/>
      </c>
      <c r="V99" s="39" t="str">
        <f>IF((IF(ISNUMBER(V69),4,0)+IF(ISNUMBER(V75),4,0)+IF(ISNUMBER(V81),4,0)+IF(ISNUMBER(V87),4,0)+IF(ISNUMBER(V93),4,0))=0,"",(IF(ISNUMBER(V69),V69*4,0)+IF(ISNUMBER(V75),V75*4,0)+IF(ISNUMBER(V81),V81*4,0)+IF(ISNUMBER(V87),V87*4,0)+IF(ISNUMBER(V93),V93*4,0))/(IF(ISNUMBER(V69),4,0)+IF(ISNUMBER(V75),4,0)+IF(ISNUMBER(V81),4,0)+IF(ISNUMBER(V87),4,0)+IF(ISNUMBER(V93),4,0)))</f>
        <v/>
      </c>
      <c r="W99" s="39" t="str">
        <f>IF((IF(ISNUMBER(W69),4,0)+IF(ISNUMBER(W75),4,0)+IF(ISNUMBER(W81),4,0)+IF(ISNUMBER(W87),4,0)+IF(ISNUMBER(W93),4,0))=0,"",(IF(ISNUMBER(W69),W69*4,0)+IF(ISNUMBER(W75),W75*4,0)+IF(ISNUMBER(W81),W81*4,0)+IF(ISNUMBER(W87),W87*4,0)+IF(ISNUMBER(W93),W93*4,0))/(IF(ISNUMBER(W69),4,0)+IF(ISNUMBER(W75),4,0)+IF(ISNUMBER(W81),4,0)+IF(ISNUMBER(W87),4,0)+IF(ISNUMBER(W93),4,0)))</f>
        <v/>
      </c>
      <c r="X99" s="39" t="str">
        <f>IF((IF(ISNUMBER(X69),4,0)+IF(ISNUMBER(X75),4,0)+IF(ISNUMBER(X81),4,0)+IF(ISNUMBER(X87),4,0)+IF(ISNUMBER(X93),4,0))=0,"",(IF(ISNUMBER(X69),X69*4,0)+IF(ISNUMBER(X75),X75*4,0)+IF(ISNUMBER(X81),X81*4,0)+IF(ISNUMBER(X87),X87*4,0)+IF(ISNUMBER(X93),X93*4,0))/(IF(ISNUMBER(X69),4,0)+IF(ISNUMBER(X75),4,0)+IF(ISNUMBER(X81),4,0)+IF(ISNUMBER(X87),4,0)+IF(ISNUMBER(X93),4,0)))</f>
        <v/>
      </c>
      <c r="Y99" s="39" t="str">
        <f>IF((IF(ISNUMBER(Y69),4,0)+IF(ISNUMBER(Y75),4,0)+IF(ISNUMBER(Y81),4,0)+IF(ISNUMBER(Y87),4,0)+IF(ISNUMBER(Y93),4,0))=0,"",(IF(ISNUMBER(Y69),Y69*4,0)+IF(ISNUMBER(Y75),Y75*4,0)+IF(ISNUMBER(Y81),Y81*4,0)+IF(ISNUMBER(Y87),Y87*4,0)+IF(ISNUMBER(Y93),Y93*4,0))/(IF(ISNUMBER(Y69),4,0)+IF(ISNUMBER(Y75),4,0)+IF(ISNUMBER(Y81),4,0)+IF(ISNUMBER(Y87),4,0)+IF(ISNUMBER(Y93),4,0)))</f>
        <v/>
      </c>
      <c r="Z99" s="39" t="str">
        <f>_xlfn.IFERROR(AVERAGE(E99:Y99),"")</f>
        <v/>
      </c>
    </row>
    <row r="100" spans="8:8" ht="20.0" customHeight="1">
      <c r="A100" s="18" t="s">
        <v>902</v>
      </c>
    </row>
    <row r="101" spans="8:8" ht="28.0" customHeight="1">
      <c r="A101" s="28"/>
      <c r="B101" s="29" t="s">
        <v>12</v>
      </c>
      <c r="C101" s="30" t="s">
        <v>903</v>
      </c>
      <c r="D101" s="29">
        <v>4.0</v>
      </c>
      <c r="E101" s="31" t="str">
        <f>IF(COUNTA(E102:E106)=0,"",COUNTIF(E102:E106,"Ya")/5*100)</f>
        <v/>
      </c>
      <c r="F101" s="31" t="str">
        <f>IF(COUNTA(F102:F106)=0,"",COUNTIF(F102:F106,"Ya")/5*100)</f>
        <v/>
      </c>
      <c r="G101" s="31" t="str">
        <f>IF(COUNTA(G102:G106)=0,"",COUNTIF(G102:G106,"Ya")/5*100)</f>
        <v/>
      </c>
      <c r="H101" s="31" t="str">
        <f>IF(COUNTA(H102:H106)=0,"",COUNTIF(H102:H106,"Ya")/5*100)</f>
        <v/>
      </c>
      <c r="I101" s="31" t="str">
        <f>IF(COUNTA(I102:I106)=0,"",COUNTIF(I102:I106,"Ya")/5*100)</f>
        <v/>
      </c>
      <c r="J101" s="31" t="str">
        <f>IF(COUNTA(J102:J106)=0,"",COUNTIF(J102:J106,"Ya")/5*100)</f>
        <v/>
      </c>
      <c r="K101" s="31" t="str">
        <f>IF(COUNTA(K102:K106)=0,"",COUNTIF(K102:K106,"Ya")/5*100)</f>
        <v/>
      </c>
      <c r="L101" s="31" t="str">
        <f>IF(COUNTA(L102:L106)=0,"",COUNTIF(L102:L106,"Ya")/5*100)</f>
        <v/>
      </c>
      <c r="M101" s="31" t="str">
        <f>IF(COUNTA(M102:M106)=0,"",COUNTIF(M102:M106,"Ya")/5*100)</f>
        <v/>
      </c>
      <c r="N101" s="31" t="str">
        <f>IF(COUNTA(N102:N106)=0,"",COUNTIF(N102:N106,"Ya")/5*100)</f>
        <v/>
      </c>
      <c r="O101" s="31" t="str">
        <f>IF(COUNTA(O102:O106)=0,"",COUNTIF(O102:O106,"Ya")/5*100)</f>
        <v/>
      </c>
      <c r="P101" s="31" t="str">
        <f>IF(COUNTA(P102:P106)=0,"",COUNTIF(P102:P106,"Ya")/5*100)</f>
        <v/>
      </c>
      <c r="Q101" s="31" t="str">
        <f>IF(COUNTA(Q102:Q106)=0,"",COUNTIF(Q102:Q106,"Ya")/5*100)</f>
        <v/>
      </c>
      <c r="R101" s="31" t="str">
        <f>IF(COUNTA(R102:R106)=0,"",COUNTIF(R102:R106,"Ya")/5*100)</f>
        <v/>
      </c>
      <c r="S101" s="31" t="str">
        <f>IF(COUNTA(S102:S106)=0,"",COUNTIF(S102:S106,"Ya")/5*100)</f>
        <v/>
      </c>
      <c r="T101" s="31" t="str">
        <f>IF(COUNTA(T102:T106)=0,"",COUNTIF(T102:T106,"Ya")/5*100)</f>
        <v/>
      </c>
      <c r="U101" s="31" t="str">
        <f>IF(COUNTA(U102:U106)=0,"",COUNTIF(U102:U106,"Ya")/5*100)</f>
        <v/>
      </c>
      <c r="V101" s="31" t="str">
        <f>IF(COUNTA(V102:V106)=0,"",COUNTIF(V102:V106,"Ya")/5*100)</f>
        <v/>
      </c>
      <c r="W101" s="31" t="str">
        <f>IF(COUNTA(W102:W106)=0,"",COUNTIF(W102:W106,"Ya")/5*100)</f>
        <v/>
      </c>
      <c r="X101" s="31" t="str">
        <f>IF(COUNTA(X102:X106)=0,"",COUNTIF(X102:X106,"Ya")/5*100)</f>
        <v/>
      </c>
      <c r="Y101" s="31" t="str">
        <f>IF(COUNTA(Y102:Y106)=0,"",COUNTIF(Y102:Y106,"Ya")/5*100)</f>
        <v/>
      </c>
      <c r="Z101" s="31" t="str">
        <f>_xlfn.IFERROR(AVERAGE(E101:Y101),"")</f>
        <v/>
      </c>
    </row>
    <row r="102" spans="8:8" ht="25.0" customHeight="1">
      <c r="A102" s="32"/>
      <c r="B102" s="33" t="s">
        <v>904</v>
      </c>
      <c r="C102" s="34" t="s">
        <v>905</v>
      </c>
      <c r="D102" s="32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spans="8:8" ht="25.0" customHeight="1">
      <c r="A103" s="32"/>
      <c r="B103" s="33" t="s">
        <v>906</v>
      </c>
      <c r="C103" s="34" t="s">
        <v>907</v>
      </c>
      <c r="D103" s="32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spans="8:8" ht="25.0" customHeight="1">
      <c r="A104" s="32"/>
      <c r="B104" s="33" t="s">
        <v>908</v>
      </c>
      <c r="C104" s="34" t="s">
        <v>909</v>
      </c>
      <c r="D104" s="32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spans="8:8" ht="25.0" customHeight="1">
      <c r="A105" s="32"/>
      <c r="B105" s="33" t="s">
        <v>910</v>
      </c>
      <c r="C105" s="34" t="s">
        <v>911</v>
      </c>
      <c r="D105" s="32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spans="8:8" ht="25.0" customHeight="1">
      <c r="A106" s="32"/>
      <c r="B106" s="33" t="s">
        <v>912</v>
      </c>
      <c r="C106" s="34" t="s">
        <v>913</v>
      </c>
      <c r="D106" s="32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spans="8:8" ht="28.0" customHeight="1">
      <c r="A107" s="28"/>
      <c r="B107" s="29" t="s">
        <v>13</v>
      </c>
      <c r="C107" s="30" t="s">
        <v>914</v>
      </c>
      <c r="D107" s="29">
        <v>4.0</v>
      </c>
      <c r="E107" s="31" t="str">
        <f>IF(COUNTA(E108:E112)=0,"",COUNTIF(E108:E112,"Ya")/5*100)</f>
        <v/>
      </c>
      <c r="F107" s="31" t="str">
        <f>IF(COUNTA(F108:F112)=0,"",COUNTIF(F108:F112,"Ya")/5*100)</f>
        <v/>
      </c>
      <c r="G107" s="31" t="str">
        <f>IF(COUNTA(G108:G112)=0,"",COUNTIF(G108:G112,"Ya")/5*100)</f>
        <v/>
      </c>
      <c r="H107" s="31" t="str">
        <f>IF(COUNTA(H108:H112)=0,"",COUNTIF(H108:H112,"Ya")/5*100)</f>
        <v/>
      </c>
      <c r="I107" s="31" t="str">
        <f>IF(COUNTA(I108:I112)=0,"",COUNTIF(I108:I112,"Ya")/5*100)</f>
        <v/>
      </c>
      <c r="J107" s="31" t="str">
        <f>IF(COUNTA(J108:J112)=0,"",COUNTIF(J108:J112,"Ya")/5*100)</f>
        <v/>
      </c>
      <c r="K107" s="31" t="str">
        <f>IF(COUNTA(K108:K112)=0,"",COUNTIF(K108:K112,"Ya")/5*100)</f>
        <v/>
      </c>
      <c r="L107" s="31" t="str">
        <f>IF(COUNTA(L108:L112)=0,"",COUNTIF(L108:L112,"Ya")/5*100)</f>
        <v/>
      </c>
      <c r="M107" s="31" t="str">
        <f>IF(COUNTA(M108:M112)=0,"",COUNTIF(M108:M112,"Ya")/5*100)</f>
        <v/>
      </c>
      <c r="N107" s="31" t="str">
        <f>IF(COUNTA(N108:N112)=0,"",COUNTIF(N108:N112,"Ya")/5*100)</f>
        <v/>
      </c>
      <c r="O107" s="31" t="str">
        <f>IF(COUNTA(O108:O112)=0,"",COUNTIF(O108:O112,"Ya")/5*100)</f>
        <v/>
      </c>
      <c r="P107" s="31" t="str">
        <f>IF(COUNTA(P108:P112)=0,"",COUNTIF(P108:P112,"Ya")/5*100)</f>
        <v/>
      </c>
      <c r="Q107" s="31" t="str">
        <f>IF(COUNTA(Q108:Q112)=0,"",COUNTIF(Q108:Q112,"Ya")/5*100)</f>
        <v/>
      </c>
      <c r="R107" s="31" t="str">
        <f>IF(COUNTA(R108:R112)=0,"",COUNTIF(R108:R112,"Ya")/5*100)</f>
        <v/>
      </c>
      <c r="S107" s="31" t="str">
        <f>IF(COUNTA(S108:S112)=0,"",COUNTIF(S108:S112,"Ya")/5*100)</f>
        <v/>
      </c>
      <c r="T107" s="31" t="str">
        <f>IF(COUNTA(T108:T112)=0,"",COUNTIF(T108:T112,"Ya")/5*100)</f>
        <v/>
      </c>
      <c r="U107" s="31" t="str">
        <f>IF(COUNTA(U108:U112)=0,"",COUNTIF(U108:U112,"Ya")/5*100)</f>
        <v/>
      </c>
      <c r="V107" s="31" t="str">
        <f>IF(COUNTA(V108:V112)=0,"",COUNTIF(V108:V112,"Ya")/5*100)</f>
        <v/>
      </c>
      <c r="W107" s="31" t="str">
        <f>IF(COUNTA(W108:W112)=0,"",COUNTIF(W108:W112,"Ya")/5*100)</f>
        <v/>
      </c>
      <c r="X107" s="31" t="str">
        <f>IF(COUNTA(X108:X112)=0,"",COUNTIF(X108:X112,"Ya")/5*100)</f>
        <v/>
      </c>
      <c r="Y107" s="31" t="str">
        <f>IF(COUNTA(Y108:Y112)=0,"",COUNTIF(Y108:Y112,"Ya")/5*100)</f>
        <v/>
      </c>
      <c r="Z107" s="31" t="str">
        <f>_xlfn.IFERROR(AVERAGE(E107:Y107),"")</f>
        <v/>
      </c>
    </row>
    <row r="108" spans="8:8" ht="25.0" customHeight="1">
      <c r="A108" s="32"/>
      <c r="B108" s="33" t="s">
        <v>915</v>
      </c>
      <c r="C108" s="34" t="s">
        <v>916</v>
      </c>
      <c r="D108" s="32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spans="8:8" ht="25.0" customHeight="1">
      <c r="A109" s="32"/>
      <c r="B109" s="33" t="s">
        <v>917</v>
      </c>
      <c r="C109" s="34" t="s">
        <v>918</v>
      </c>
      <c r="D109" s="32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spans="8:8" ht="25.0" customHeight="1">
      <c r="A110" s="32"/>
      <c r="B110" s="33" t="s">
        <v>919</v>
      </c>
      <c r="C110" s="34" t="s">
        <v>920</v>
      </c>
      <c r="D110" s="32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spans="8:8" ht="25.0" customHeight="1">
      <c r="A111" s="32"/>
      <c r="B111" s="33" t="s">
        <v>921</v>
      </c>
      <c r="C111" s="34" t="s">
        <v>922</v>
      </c>
      <c r="D111" s="32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spans="8:8" ht="25.0" customHeight="1">
      <c r="A112" s="32"/>
      <c r="B112" s="33" t="s">
        <v>923</v>
      </c>
      <c r="C112" s="34" t="s">
        <v>924</v>
      </c>
      <c r="D112" s="32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spans="8:8" ht="28.0" customHeight="1">
      <c r="A113" s="28"/>
      <c r="B113" s="29" t="s">
        <v>14</v>
      </c>
      <c r="C113" s="30" t="s">
        <v>925</v>
      </c>
      <c r="D113" s="29">
        <v>4.0</v>
      </c>
      <c r="E113" s="31" t="str">
        <f>IF(COUNTA(E114:E118)=0,"",COUNTIF(E114:E118,"Ya")/5*100)</f>
        <v/>
      </c>
      <c r="F113" s="31" t="str">
        <f>IF(COUNTA(F114:F118)=0,"",COUNTIF(F114:F118,"Ya")/5*100)</f>
        <v/>
      </c>
      <c r="G113" s="31" t="str">
        <f>IF(COUNTA(G114:G118)=0,"",COUNTIF(G114:G118,"Ya")/5*100)</f>
        <v/>
      </c>
      <c r="H113" s="31" t="str">
        <f>IF(COUNTA(H114:H118)=0,"",COUNTIF(H114:H118,"Ya")/5*100)</f>
        <v/>
      </c>
      <c r="I113" s="31" t="str">
        <f>IF(COUNTA(I114:I118)=0,"",COUNTIF(I114:I118,"Ya")/5*100)</f>
        <v/>
      </c>
      <c r="J113" s="31" t="str">
        <f>IF(COUNTA(J114:J118)=0,"",COUNTIF(J114:J118,"Ya")/5*100)</f>
        <v/>
      </c>
      <c r="K113" s="31" t="str">
        <f>IF(COUNTA(K114:K118)=0,"",COUNTIF(K114:K118,"Ya")/5*100)</f>
        <v/>
      </c>
      <c r="L113" s="31" t="str">
        <f>IF(COUNTA(L114:L118)=0,"",COUNTIF(L114:L118,"Ya")/5*100)</f>
        <v/>
      </c>
      <c r="M113" s="31" t="str">
        <f>IF(COUNTA(M114:M118)=0,"",COUNTIF(M114:M118,"Ya")/5*100)</f>
        <v/>
      </c>
      <c r="N113" s="31" t="str">
        <f>IF(COUNTA(N114:N118)=0,"",COUNTIF(N114:N118,"Ya")/5*100)</f>
        <v/>
      </c>
      <c r="O113" s="31" t="str">
        <f>IF(COUNTA(O114:O118)=0,"",COUNTIF(O114:O118,"Ya")/5*100)</f>
        <v/>
      </c>
      <c r="P113" s="31" t="str">
        <f>IF(COUNTA(P114:P118)=0,"",COUNTIF(P114:P118,"Ya")/5*100)</f>
        <v/>
      </c>
      <c r="Q113" s="31" t="str">
        <f>IF(COUNTA(Q114:Q118)=0,"",COUNTIF(Q114:Q118,"Ya")/5*100)</f>
        <v/>
      </c>
      <c r="R113" s="31" t="str">
        <f>IF(COUNTA(R114:R118)=0,"",COUNTIF(R114:R118,"Ya")/5*100)</f>
        <v/>
      </c>
      <c r="S113" s="31" t="str">
        <f>IF(COUNTA(S114:S118)=0,"",COUNTIF(S114:S118,"Ya")/5*100)</f>
        <v/>
      </c>
      <c r="T113" s="31" t="str">
        <f>IF(COUNTA(T114:T118)=0,"",COUNTIF(T114:T118,"Ya")/5*100)</f>
        <v/>
      </c>
      <c r="U113" s="31" t="str">
        <f>IF(COUNTA(U114:U118)=0,"",COUNTIF(U114:U118,"Ya")/5*100)</f>
        <v/>
      </c>
      <c r="V113" s="31" t="str">
        <f>IF(COUNTA(V114:V118)=0,"",COUNTIF(V114:V118,"Ya")/5*100)</f>
        <v/>
      </c>
      <c r="W113" s="31" t="str">
        <f>IF(COUNTA(W114:W118)=0,"",COUNTIF(W114:W118,"Ya")/5*100)</f>
        <v/>
      </c>
      <c r="X113" s="31" t="str">
        <f>IF(COUNTA(X114:X118)=0,"",COUNTIF(X114:X118,"Ya")/5*100)</f>
        <v/>
      </c>
      <c r="Y113" s="31" t="str">
        <f>IF(COUNTA(Y114:Y118)=0,"",COUNTIF(Y114:Y118,"Ya")/5*100)</f>
        <v/>
      </c>
      <c r="Z113" s="31" t="str">
        <f>_xlfn.IFERROR(AVERAGE(E113:Y113),"")</f>
        <v/>
      </c>
    </row>
    <row r="114" spans="8:8" ht="25.0" customHeight="1">
      <c r="A114" s="32"/>
      <c r="B114" s="33" t="s">
        <v>926</v>
      </c>
      <c r="C114" s="34" t="s">
        <v>927</v>
      </c>
      <c r="D114" s="32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spans="8:8" ht="25.0" customHeight="1">
      <c r="A115" s="32"/>
      <c r="B115" s="33" t="s">
        <v>928</v>
      </c>
      <c r="C115" s="34" t="s">
        <v>929</v>
      </c>
      <c r="D115" s="32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spans="8:8" ht="25.0" customHeight="1">
      <c r="A116" s="32"/>
      <c r="B116" s="33" t="s">
        <v>930</v>
      </c>
      <c r="C116" s="34" t="s">
        <v>931</v>
      </c>
      <c r="D116" s="32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spans="8:8" ht="25.0" customHeight="1">
      <c r="A117" s="32"/>
      <c r="B117" s="33" t="s">
        <v>932</v>
      </c>
      <c r="C117" s="34" t="s">
        <v>933</v>
      </c>
      <c r="D117" s="32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spans="8:8" ht="25.0" customHeight="1">
      <c r="A118" s="32"/>
      <c r="B118" s="33" t="s">
        <v>934</v>
      </c>
      <c r="C118" s="34" t="s">
        <v>935</v>
      </c>
      <c r="D118" s="32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spans="8:8" ht="40.0" customHeight="1">
      <c r="A119" s="28"/>
      <c r="B119" s="29" t="s">
        <v>15</v>
      </c>
      <c r="C119" s="30" t="s">
        <v>936</v>
      </c>
      <c r="D119" s="29">
        <v>4.0</v>
      </c>
      <c r="E119" s="31" t="str">
        <f>IF(COUNTA(E120:E124)=0,"",COUNTIF(E120:E124,"Ya")/5*100)</f>
        <v/>
      </c>
      <c r="F119" s="31" t="str">
        <f>IF(COUNTA(F120:F124)=0,"",COUNTIF(F120:F124,"Ya")/5*100)</f>
        <v/>
      </c>
      <c r="G119" s="31" t="str">
        <f>IF(COUNTA(G120:G124)=0,"",COUNTIF(G120:G124,"Ya")/5*100)</f>
        <v/>
      </c>
      <c r="H119" s="31" t="str">
        <f>IF(COUNTA(H120:H124)=0,"",COUNTIF(H120:H124,"Ya")/5*100)</f>
        <v/>
      </c>
      <c r="I119" s="31" t="str">
        <f>IF(COUNTA(I120:I124)=0,"",COUNTIF(I120:I124,"Ya")/5*100)</f>
        <v/>
      </c>
      <c r="J119" s="31" t="str">
        <f>IF(COUNTA(J120:J124)=0,"",COUNTIF(J120:J124,"Ya")/5*100)</f>
        <v/>
      </c>
      <c r="K119" s="31" t="str">
        <f>IF(COUNTA(K120:K124)=0,"",COUNTIF(K120:K124,"Ya")/5*100)</f>
        <v/>
      </c>
      <c r="L119" s="31" t="str">
        <f>IF(COUNTA(L120:L124)=0,"",COUNTIF(L120:L124,"Ya")/5*100)</f>
        <v/>
      </c>
      <c r="M119" s="31" t="str">
        <f>IF(COUNTA(M120:M124)=0,"",COUNTIF(M120:M124,"Ya")/5*100)</f>
        <v/>
      </c>
      <c r="N119" s="31" t="str">
        <f>IF(COUNTA(N120:N124)=0,"",COUNTIF(N120:N124,"Ya")/5*100)</f>
        <v/>
      </c>
      <c r="O119" s="31" t="str">
        <f>IF(COUNTA(O120:O124)=0,"",COUNTIF(O120:O124,"Ya")/5*100)</f>
        <v/>
      </c>
      <c r="P119" s="31" t="str">
        <f>IF(COUNTA(P120:P124)=0,"",COUNTIF(P120:P124,"Ya")/5*100)</f>
        <v/>
      </c>
      <c r="Q119" s="31" t="str">
        <f>IF(COUNTA(Q120:Q124)=0,"",COUNTIF(Q120:Q124,"Ya")/5*100)</f>
        <v/>
      </c>
      <c r="R119" s="31" t="str">
        <f>IF(COUNTA(R120:R124)=0,"",COUNTIF(R120:R124,"Ya")/5*100)</f>
        <v/>
      </c>
      <c r="S119" s="31" t="str">
        <f>IF(COUNTA(S120:S124)=0,"",COUNTIF(S120:S124,"Ya")/5*100)</f>
        <v/>
      </c>
      <c r="T119" s="31" t="str">
        <f>IF(COUNTA(T120:T124)=0,"",COUNTIF(T120:T124,"Ya")/5*100)</f>
        <v/>
      </c>
      <c r="U119" s="31" t="str">
        <f>IF(COUNTA(U120:U124)=0,"",COUNTIF(U120:U124,"Ya")/5*100)</f>
        <v/>
      </c>
      <c r="V119" s="31" t="str">
        <f>IF(COUNTA(V120:V124)=0,"",COUNTIF(V120:V124,"Ya")/5*100)</f>
        <v/>
      </c>
      <c r="W119" s="31" t="str">
        <f>IF(COUNTA(W120:W124)=0,"",COUNTIF(W120:W124,"Ya")/5*100)</f>
        <v/>
      </c>
      <c r="X119" s="31" t="str">
        <f>IF(COUNTA(X120:X124)=0,"",COUNTIF(X120:X124,"Ya")/5*100)</f>
        <v/>
      </c>
      <c r="Y119" s="31" t="str">
        <f>IF(COUNTA(Y120:Y124)=0,"",COUNTIF(Y120:Y124,"Ya")/5*100)</f>
        <v/>
      </c>
      <c r="Z119" s="31" t="str">
        <f>_xlfn.IFERROR(AVERAGE(E119:Y119),"")</f>
        <v/>
      </c>
    </row>
    <row r="120" spans="8:8" ht="25.0" customHeight="1">
      <c r="A120" s="32"/>
      <c r="B120" s="33" t="s">
        <v>937</v>
      </c>
      <c r="C120" s="34" t="s">
        <v>938</v>
      </c>
      <c r="D120" s="32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8:8" ht="25.0" customHeight="1">
      <c r="A121" s="32"/>
      <c r="B121" s="33" t="s">
        <v>939</v>
      </c>
      <c r="C121" s="34" t="s">
        <v>940</v>
      </c>
      <c r="D121" s="32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spans="8:8" ht="25.0" customHeight="1">
      <c r="A122" s="32"/>
      <c r="B122" s="33" t="s">
        <v>941</v>
      </c>
      <c r="C122" s="34" t="s">
        <v>942</v>
      </c>
      <c r="D122" s="32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spans="8:8" ht="25.0" customHeight="1">
      <c r="A123" s="32"/>
      <c r="B123" s="33" t="s">
        <v>943</v>
      </c>
      <c r="C123" s="34" t="s">
        <v>944</v>
      </c>
      <c r="D123" s="32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spans="8:8" ht="25.0" customHeight="1">
      <c r="A124" s="32"/>
      <c r="B124" s="33" t="s">
        <v>945</v>
      </c>
      <c r="C124" s="34" t="s">
        <v>946</v>
      </c>
      <c r="D124" s="32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8:8" ht="28.0" customHeight="1">
      <c r="A125" s="28"/>
      <c r="B125" s="29" t="s">
        <v>16</v>
      </c>
      <c r="C125" s="30" t="s">
        <v>947</v>
      </c>
      <c r="D125" s="29">
        <v>4.0</v>
      </c>
      <c r="E125" s="31" t="str">
        <f>IF(COUNTA(E126:E130)=0,"",COUNTIF(E126:E130,"Ya")/5*100)</f>
        <v/>
      </c>
      <c r="F125" s="31" t="str">
        <f>IF(COUNTA(F126:F130)=0,"",COUNTIF(F126:F130,"Ya")/5*100)</f>
        <v/>
      </c>
      <c r="G125" s="31" t="str">
        <f>IF(COUNTA(G126:G130)=0,"",COUNTIF(G126:G130,"Ya")/5*100)</f>
        <v/>
      </c>
      <c r="H125" s="31" t="str">
        <f>IF(COUNTA(H126:H130)=0,"",COUNTIF(H126:H130,"Ya")/5*100)</f>
        <v/>
      </c>
      <c r="I125" s="31" t="str">
        <f>IF(COUNTA(I126:I130)=0,"",COUNTIF(I126:I130,"Ya")/5*100)</f>
        <v/>
      </c>
      <c r="J125" s="31" t="str">
        <f>IF(COUNTA(J126:J130)=0,"",COUNTIF(J126:J130,"Ya")/5*100)</f>
        <v/>
      </c>
      <c r="K125" s="31" t="str">
        <f>IF(COUNTA(K126:K130)=0,"",COUNTIF(K126:K130,"Ya")/5*100)</f>
        <v/>
      </c>
      <c r="L125" s="31" t="str">
        <f>IF(COUNTA(L126:L130)=0,"",COUNTIF(L126:L130,"Ya")/5*100)</f>
        <v/>
      </c>
      <c r="M125" s="31" t="str">
        <f>IF(COUNTA(M126:M130)=0,"",COUNTIF(M126:M130,"Ya")/5*100)</f>
        <v/>
      </c>
      <c r="N125" s="31" t="str">
        <f>IF(COUNTA(N126:N130)=0,"",COUNTIF(N126:N130,"Ya")/5*100)</f>
        <v/>
      </c>
      <c r="O125" s="31" t="str">
        <f>IF(COUNTA(O126:O130)=0,"",COUNTIF(O126:O130,"Ya")/5*100)</f>
        <v/>
      </c>
      <c r="P125" s="31" t="str">
        <f>IF(COUNTA(P126:P130)=0,"",COUNTIF(P126:P130,"Ya")/5*100)</f>
        <v/>
      </c>
      <c r="Q125" s="31" t="str">
        <f>IF(COUNTA(Q126:Q130)=0,"",COUNTIF(Q126:Q130,"Ya")/5*100)</f>
        <v/>
      </c>
      <c r="R125" s="31" t="str">
        <f>IF(COUNTA(R126:R130)=0,"",COUNTIF(R126:R130,"Ya")/5*100)</f>
        <v/>
      </c>
      <c r="S125" s="31" t="str">
        <f>IF(COUNTA(S126:S130)=0,"",COUNTIF(S126:S130,"Ya")/5*100)</f>
        <v/>
      </c>
      <c r="T125" s="31" t="str">
        <f>IF(COUNTA(T126:T130)=0,"",COUNTIF(T126:T130,"Ya")/5*100)</f>
        <v/>
      </c>
      <c r="U125" s="31" t="str">
        <f>IF(COUNTA(U126:U130)=0,"",COUNTIF(U126:U130,"Ya")/5*100)</f>
        <v/>
      </c>
      <c r="V125" s="31" t="str">
        <f>IF(COUNTA(V126:V130)=0,"",COUNTIF(V126:V130,"Ya")/5*100)</f>
        <v/>
      </c>
      <c r="W125" s="31" t="str">
        <f>IF(COUNTA(W126:W130)=0,"",COUNTIF(W126:W130,"Ya")/5*100)</f>
        <v/>
      </c>
      <c r="X125" s="31" t="str">
        <f>IF(COUNTA(X126:X130)=0,"",COUNTIF(X126:X130,"Ya")/5*100)</f>
        <v/>
      </c>
      <c r="Y125" s="31" t="str">
        <f>IF(COUNTA(Y126:Y130)=0,"",COUNTIF(Y126:Y130,"Ya")/5*100)</f>
        <v/>
      </c>
      <c r="Z125" s="31" t="str">
        <f>_xlfn.IFERROR(AVERAGE(E125:Y125),"")</f>
        <v/>
      </c>
    </row>
    <row r="126" spans="8:8" ht="25.0" customHeight="1">
      <c r="A126" s="32"/>
      <c r="B126" s="33" t="s">
        <v>948</v>
      </c>
      <c r="C126" s="34" t="s">
        <v>949</v>
      </c>
      <c r="D126" s="32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spans="8:8" ht="25.0" customHeight="1">
      <c r="A127" s="32"/>
      <c r="B127" s="33" t="s">
        <v>950</v>
      </c>
      <c r="C127" s="34" t="s">
        <v>951</v>
      </c>
      <c r="D127" s="32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spans="8:8" ht="25.0" customHeight="1">
      <c r="A128" s="32"/>
      <c r="B128" s="33" t="s">
        <v>952</v>
      </c>
      <c r="C128" s="34" t="s">
        <v>953</v>
      </c>
      <c r="D128" s="32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spans="8:8" ht="25.0" customHeight="1">
      <c r="A129" s="32"/>
      <c r="B129" s="33" t="s">
        <v>954</v>
      </c>
      <c r="C129" s="34" t="s">
        <v>955</v>
      </c>
      <c r="D129" s="32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spans="8:8" ht="25.0" customHeight="1">
      <c r="A130" s="32"/>
      <c r="B130" s="33" t="s">
        <v>956</v>
      </c>
      <c r="C130" s="34" t="s">
        <v>957</v>
      </c>
      <c r="D130" s="32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spans="8:8" ht="18.0" customHeight="1">
      <c r="A131" s="36"/>
      <c r="B131" s="36"/>
      <c r="C131" s="37" t="s">
        <v>958</v>
      </c>
      <c r="D131" s="38">
        <v>20.0</v>
      </c>
      <c r="E131" s="39" t="str">
        <f>IF((IF(ISNUMBER(E101),4,0)+IF(ISNUMBER(E107),4,0)+IF(ISNUMBER(E113),4,0)+IF(ISNUMBER(E119),4,0)+IF(ISNUMBER(E125),4,0))=0,"",(IF(ISNUMBER(E101),E101*4,0)+IF(ISNUMBER(E107),E107*4,0)+IF(ISNUMBER(E113),E113*4,0)+IF(ISNUMBER(E119),E119*4,0)+IF(ISNUMBER(E125),E125*4,0))/(IF(ISNUMBER(E101),4,0)+IF(ISNUMBER(E107),4,0)+IF(ISNUMBER(E113),4,0)+IF(ISNUMBER(E119),4,0)+IF(ISNUMBER(E125),4,0)))</f>
        <v/>
      </c>
      <c r="F131" s="39" t="str">
        <f>IF((IF(ISNUMBER(F101),4,0)+IF(ISNUMBER(F107),4,0)+IF(ISNUMBER(F113),4,0)+IF(ISNUMBER(F119),4,0)+IF(ISNUMBER(F125),4,0))=0,"",(IF(ISNUMBER(F101),F101*4,0)+IF(ISNUMBER(F107),F107*4,0)+IF(ISNUMBER(F113),F113*4,0)+IF(ISNUMBER(F119),F119*4,0)+IF(ISNUMBER(F125),F125*4,0))/(IF(ISNUMBER(F101),4,0)+IF(ISNUMBER(F107),4,0)+IF(ISNUMBER(F113),4,0)+IF(ISNUMBER(F119),4,0)+IF(ISNUMBER(F125),4,0)))</f>
        <v/>
      </c>
      <c r="G131" s="39" t="str">
        <f>IF((IF(ISNUMBER(G101),4,0)+IF(ISNUMBER(G107),4,0)+IF(ISNUMBER(G113),4,0)+IF(ISNUMBER(G119),4,0)+IF(ISNUMBER(G125),4,0))=0,"",(IF(ISNUMBER(G101),G101*4,0)+IF(ISNUMBER(G107),G107*4,0)+IF(ISNUMBER(G113),G113*4,0)+IF(ISNUMBER(G119),G119*4,0)+IF(ISNUMBER(G125),G125*4,0))/(IF(ISNUMBER(G101),4,0)+IF(ISNUMBER(G107),4,0)+IF(ISNUMBER(G113),4,0)+IF(ISNUMBER(G119),4,0)+IF(ISNUMBER(G125),4,0)))</f>
        <v/>
      </c>
      <c r="H131" s="39" t="str">
        <f>IF((IF(ISNUMBER(H101),4,0)+IF(ISNUMBER(H107),4,0)+IF(ISNUMBER(H113),4,0)+IF(ISNUMBER(H119),4,0)+IF(ISNUMBER(H125),4,0))=0,"",(IF(ISNUMBER(H101),H101*4,0)+IF(ISNUMBER(H107),H107*4,0)+IF(ISNUMBER(H113),H113*4,0)+IF(ISNUMBER(H119),H119*4,0)+IF(ISNUMBER(H125),H125*4,0))/(IF(ISNUMBER(H101),4,0)+IF(ISNUMBER(H107),4,0)+IF(ISNUMBER(H113),4,0)+IF(ISNUMBER(H119),4,0)+IF(ISNUMBER(H125),4,0)))</f>
        <v/>
      </c>
      <c r="I131" s="39" t="str">
        <f>IF((IF(ISNUMBER(I101),4,0)+IF(ISNUMBER(I107),4,0)+IF(ISNUMBER(I113),4,0)+IF(ISNUMBER(I119),4,0)+IF(ISNUMBER(I125),4,0))=0,"",(IF(ISNUMBER(I101),I101*4,0)+IF(ISNUMBER(I107),I107*4,0)+IF(ISNUMBER(I113),I113*4,0)+IF(ISNUMBER(I119),I119*4,0)+IF(ISNUMBER(I125),I125*4,0))/(IF(ISNUMBER(I101),4,0)+IF(ISNUMBER(I107),4,0)+IF(ISNUMBER(I113),4,0)+IF(ISNUMBER(I119),4,0)+IF(ISNUMBER(I125),4,0)))</f>
        <v/>
      </c>
      <c r="J131" s="39" t="str">
        <f>IF((IF(ISNUMBER(J101),4,0)+IF(ISNUMBER(J107),4,0)+IF(ISNUMBER(J113),4,0)+IF(ISNUMBER(J119),4,0)+IF(ISNUMBER(J125),4,0))=0,"",(IF(ISNUMBER(J101),J101*4,0)+IF(ISNUMBER(J107),J107*4,0)+IF(ISNUMBER(J113),J113*4,0)+IF(ISNUMBER(J119),J119*4,0)+IF(ISNUMBER(J125),J125*4,0))/(IF(ISNUMBER(J101),4,0)+IF(ISNUMBER(J107),4,0)+IF(ISNUMBER(J113),4,0)+IF(ISNUMBER(J119),4,0)+IF(ISNUMBER(J125),4,0)))</f>
        <v/>
      </c>
      <c r="K131" s="39" t="str">
        <f>IF((IF(ISNUMBER(K101),4,0)+IF(ISNUMBER(K107),4,0)+IF(ISNUMBER(K113),4,0)+IF(ISNUMBER(K119),4,0)+IF(ISNUMBER(K125),4,0))=0,"",(IF(ISNUMBER(K101),K101*4,0)+IF(ISNUMBER(K107),K107*4,0)+IF(ISNUMBER(K113),K113*4,0)+IF(ISNUMBER(K119),K119*4,0)+IF(ISNUMBER(K125),K125*4,0))/(IF(ISNUMBER(K101),4,0)+IF(ISNUMBER(K107),4,0)+IF(ISNUMBER(K113),4,0)+IF(ISNUMBER(K119),4,0)+IF(ISNUMBER(K125),4,0)))</f>
        <v/>
      </c>
      <c r="L131" s="39" t="str">
        <f>IF((IF(ISNUMBER(L101),4,0)+IF(ISNUMBER(L107),4,0)+IF(ISNUMBER(L113),4,0)+IF(ISNUMBER(L119),4,0)+IF(ISNUMBER(L125),4,0))=0,"",(IF(ISNUMBER(L101),L101*4,0)+IF(ISNUMBER(L107),L107*4,0)+IF(ISNUMBER(L113),L113*4,0)+IF(ISNUMBER(L119),L119*4,0)+IF(ISNUMBER(L125),L125*4,0))/(IF(ISNUMBER(L101),4,0)+IF(ISNUMBER(L107),4,0)+IF(ISNUMBER(L113),4,0)+IF(ISNUMBER(L119),4,0)+IF(ISNUMBER(L125),4,0)))</f>
        <v/>
      </c>
      <c r="M131" s="39" t="str">
        <f>IF((IF(ISNUMBER(M101),4,0)+IF(ISNUMBER(M107),4,0)+IF(ISNUMBER(M113),4,0)+IF(ISNUMBER(M119),4,0)+IF(ISNUMBER(M125),4,0))=0,"",(IF(ISNUMBER(M101),M101*4,0)+IF(ISNUMBER(M107),M107*4,0)+IF(ISNUMBER(M113),M113*4,0)+IF(ISNUMBER(M119),M119*4,0)+IF(ISNUMBER(M125),M125*4,0))/(IF(ISNUMBER(M101),4,0)+IF(ISNUMBER(M107),4,0)+IF(ISNUMBER(M113),4,0)+IF(ISNUMBER(M119),4,0)+IF(ISNUMBER(M125),4,0)))</f>
        <v/>
      </c>
      <c r="N131" s="39" t="str">
        <f>IF((IF(ISNUMBER(N101),4,0)+IF(ISNUMBER(N107),4,0)+IF(ISNUMBER(N113),4,0)+IF(ISNUMBER(N119),4,0)+IF(ISNUMBER(N125),4,0))=0,"",(IF(ISNUMBER(N101),N101*4,0)+IF(ISNUMBER(N107),N107*4,0)+IF(ISNUMBER(N113),N113*4,0)+IF(ISNUMBER(N119),N119*4,0)+IF(ISNUMBER(N125),N125*4,0))/(IF(ISNUMBER(N101),4,0)+IF(ISNUMBER(N107),4,0)+IF(ISNUMBER(N113),4,0)+IF(ISNUMBER(N119),4,0)+IF(ISNUMBER(N125),4,0)))</f>
        <v/>
      </c>
      <c r="O131" s="39" t="str">
        <f>IF((IF(ISNUMBER(O101),4,0)+IF(ISNUMBER(O107),4,0)+IF(ISNUMBER(O113),4,0)+IF(ISNUMBER(O119),4,0)+IF(ISNUMBER(O125),4,0))=0,"",(IF(ISNUMBER(O101),O101*4,0)+IF(ISNUMBER(O107),O107*4,0)+IF(ISNUMBER(O113),O113*4,0)+IF(ISNUMBER(O119),O119*4,0)+IF(ISNUMBER(O125),O125*4,0))/(IF(ISNUMBER(O101),4,0)+IF(ISNUMBER(O107),4,0)+IF(ISNUMBER(O113),4,0)+IF(ISNUMBER(O119),4,0)+IF(ISNUMBER(O125),4,0)))</f>
        <v/>
      </c>
      <c r="P131" s="39" t="str">
        <f>IF((IF(ISNUMBER(P101),4,0)+IF(ISNUMBER(P107),4,0)+IF(ISNUMBER(P113),4,0)+IF(ISNUMBER(P119),4,0)+IF(ISNUMBER(P125),4,0))=0,"",(IF(ISNUMBER(P101),P101*4,0)+IF(ISNUMBER(P107),P107*4,0)+IF(ISNUMBER(P113),P113*4,0)+IF(ISNUMBER(P119),P119*4,0)+IF(ISNUMBER(P125),P125*4,0))/(IF(ISNUMBER(P101),4,0)+IF(ISNUMBER(P107),4,0)+IF(ISNUMBER(P113),4,0)+IF(ISNUMBER(P119),4,0)+IF(ISNUMBER(P125),4,0)))</f>
        <v/>
      </c>
      <c r="Q131" s="39" t="str">
        <f>IF((IF(ISNUMBER(Q101),4,0)+IF(ISNUMBER(Q107),4,0)+IF(ISNUMBER(Q113),4,0)+IF(ISNUMBER(Q119),4,0)+IF(ISNUMBER(Q125),4,0))=0,"",(IF(ISNUMBER(Q101),Q101*4,0)+IF(ISNUMBER(Q107),Q107*4,0)+IF(ISNUMBER(Q113),Q113*4,0)+IF(ISNUMBER(Q119),Q119*4,0)+IF(ISNUMBER(Q125),Q125*4,0))/(IF(ISNUMBER(Q101),4,0)+IF(ISNUMBER(Q107),4,0)+IF(ISNUMBER(Q113),4,0)+IF(ISNUMBER(Q119),4,0)+IF(ISNUMBER(Q125),4,0)))</f>
        <v/>
      </c>
      <c r="R131" s="39" t="str">
        <f>IF((IF(ISNUMBER(R101),4,0)+IF(ISNUMBER(R107),4,0)+IF(ISNUMBER(R113),4,0)+IF(ISNUMBER(R119),4,0)+IF(ISNUMBER(R125),4,0))=0,"",(IF(ISNUMBER(R101),R101*4,0)+IF(ISNUMBER(R107),R107*4,0)+IF(ISNUMBER(R113),R113*4,0)+IF(ISNUMBER(R119),R119*4,0)+IF(ISNUMBER(R125),R125*4,0))/(IF(ISNUMBER(R101),4,0)+IF(ISNUMBER(R107),4,0)+IF(ISNUMBER(R113),4,0)+IF(ISNUMBER(R119),4,0)+IF(ISNUMBER(R125),4,0)))</f>
        <v/>
      </c>
      <c r="S131" s="39" t="str">
        <f>IF((IF(ISNUMBER(S101),4,0)+IF(ISNUMBER(S107),4,0)+IF(ISNUMBER(S113),4,0)+IF(ISNUMBER(S119),4,0)+IF(ISNUMBER(S125),4,0))=0,"",(IF(ISNUMBER(S101),S101*4,0)+IF(ISNUMBER(S107),S107*4,0)+IF(ISNUMBER(S113),S113*4,0)+IF(ISNUMBER(S119),S119*4,0)+IF(ISNUMBER(S125),S125*4,0))/(IF(ISNUMBER(S101),4,0)+IF(ISNUMBER(S107),4,0)+IF(ISNUMBER(S113),4,0)+IF(ISNUMBER(S119),4,0)+IF(ISNUMBER(S125),4,0)))</f>
        <v/>
      </c>
      <c r="T131" s="39" t="str">
        <f>IF((IF(ISNUMBER(T101),4,0)+IF(ISNUMBER(T107),4,0)+IF(ISNUMBER(T113),4,0)+IF(ISNUMBER(T119),4,0)+IF(ISNUMBER(T125),4,0))=0,"",(IF(ISNUMBER(T101),T101*4,0)+IF(ISNUMBER(T107),T107*4,0)+IF(ISNUMBER(T113),T113*4,0)+IF(ISNUMBER(T119),T119*4,0)+IF(ISNUMBER(T125),T125*4,0))/(IF(ISNUMBER(T101),4,0)+IF(ISNUMBER(T107),4,0)+IF(ISNUMBER(T113),4,0)+IF(ISNUMBER(T119),4,0)+IF(ISNUMBER(T125),4,0)))</f>
        <v/>
      </c>
      <c r="U131" s="39" t="str">
        <f>IF((IF(ISNUMBER(U101),4,0)+IF(ISNUMBER(U107),4,0)+IF(ISNUMBER(U113),4,0)+IF(ISNUMBER(U119),4,0)+IF(ISNUMBER(U125),4,0))=0,"",(IF(ISNUMBER(U101),U101*4,0)+IF(ISNUMBER(U107),U107*4,0)+IF(ISNUMBER(U113),U113*4,0)+IF(ISNUMBER(U119),U119*4,0)+IF(ISNUMBER(U125),U125*4,0))/(IF(ISNUMBER(U101),4,0)+IF(ISNUMBER(U107),4,0)+IF(ISNUMBER(U113),4,0)+IF(ISNUMBER(U119),4,0)+IF(ISNUMBER(U125),4,0)))</f>
        <v/>
      </c>
      <c r="V131" s="39" t="str">
        <f>IF((IF(ISNUMBER(V101),4,0)+IF(ISNUMBER(V107),4,0)+IF(ISNUMBER(V113),4,0)+IF(ISNUMBER(V119),4,0)+IF(ISNUMBER(V125),4,0))=0,"",(IF(ISNUMBER(V101),V101*4,0)+IF(ISNUMBER(V107),V107*4,0)+IF(ISNUMBER(V113),V113*4,0)+IF(ISNUMBER(V119),V119*4,0)+IF(ISNUMBER(V125),V125*4,0))/(IF(ISNUMBER(V101),4,0)+IF(ISNUMBER(V107),4,0)+IF(ISNUMBER(V113),4,0)+IF(ISNUMBER(V119),4,0)+IF(ISNUMBER(V125),4,0)))</f>
        <v/>
      </c>
      <c r="W131" s="39" t="str">
        <f>IF((IF(ISNUMBER(W101),4,0)+IF(ISNUMBER(W107),4,0)+IF(ISNUMBER(W113),4,0)+IF(ISNUMBER(W119),4,0)+IF(ISNUMBER(W125),4,0))=0,"",(IF(ISNUMBER(W101),W101*4,0)+IF(ISNUMBER(W107),W107*4,0)+IF(ISNUMBER(W113),W113*4,0)+IF(ISNUMBER(W119),W119*4,0)+IF(ISNUMBER(W125),W125*4,0))/(IF(ISNUMBER(W101),4,0)+IF(ISNUMBER(W107),4,0)+IF(ISNUMBER(W113),4,0)+IF(ISNUMBER(W119),4,0)+IF(ISNUMBER(W125),4,0)))</f>
        <v/>
      </c>
      <c r="X131" s="39" t="str">
        <f>IF((IF(ISNUMBER(X101),4,0)+IF(ISNUMBER(X107),4,0)+IF(ISNUMBER(X113),4,0)+IF(ISNUMBER(X119),4,0)+IF(ISNUMBER(X125),4,0))=0,"",(IF(ISNUMBER(X101),X101*4,0)+IF(ISNUMBER(X107),X107*4,0)+IF(ISNUMBER(X113),X113*4,0)+IF(ISNUMBER(X119),X119*4,0)+IF(ISNUMBER(X125),X125*4,0))/(IF(ISNUMBER(X101),4,0)+IF(ISNUMBER(X107),4,0)+IF(ISNUMBER(X113),4,0)+IF(ISNUMBER(X119),4,0)+IF(ISNUMBER(X125),4,0)))</f>
        <v/>
      </c>
      <c r="Y131" s="39" t="str">
        <f>IF((IF(ISNUMBER(Y101),4,0)+IF(ISNUMBER(Y107),4,0)+IF(ISNUMBER(Y113),4,0)+IF(ISNUMBER(Y119),4,0)+IF(ISNUMBER(Y125),4,0))=0,"",(IF(ISNUMBER(Y101),Y101*4,0)+IF(ISNUMBER(Y107),Y107*4,0)+IF(ISNUMBER(Y113),Y113*4,0)+IF(ISNUMBER(Y119),Y119*4,0)+IF(ISNUMBER(Y125),Y125*4,0))/(IF(ISNUMBER(Y101),4,0)+IF(ISNUMBER(Y107),4,0)+IF(ISNUMBER(Y113),4,0)+IF(ISNUMBER(Y119),4,0)+IF(ISNUMBER(Y125),4,0)))</f>
        <v/>
      </c>
      <c r="Z131" s="39" t="str">
        <f>_xlfn.IFERROR(AVERAGE(E131:Y131),"")</f>
        <v/>
      </c>
    </row>
    <row r="132" spans="8:8" ht="20.0" customHeight="1">
      <c r="A132" s="18" t="s">
        <v>959</v>
      </c>
    </row>
    <row r="133" spans="8:8" ht="28.0" customHeight="1">
      <c r="A133" s="28"/>
      <c r="B133" s="29" t="s">
        <v>1143</v>
      </c>
      <c r="C133" s="30" t="s">
        <v>1144</v>
      </c>
      <c r="D133" s="29">
        <v>4.0</v>
      </c>
      <c r="E133" s="31" t="str">
        <f>IF(COUNTA(E134:E138)=0,"",COUNTIF(E134:E138,"Ya")/5*100)</f>
        <v/>
      </c>
      <c r="F133" s="31" t="str">
        <f>IF(COUNTA(F134:F138)=0,"",COUNTIF(F134:F138,"Ya")/5*100)</f>
        <v/>
      </c>
      <c r="G133" s="31" t="str">
        <f>IF(COUNTA(G134:G138)=0,"",COUNTIF(G134:G138,"Ya")/5*100)</f>
        <v/>
      </c>
      <c r="H133" s="31" t="str">
        <f>IF(COUNTA(H134:H138)=0,"",COUNTIF(H134:H138,"Ya")/5*100)</f>
        <v/>
      </c>
      <c r="I133" s="31" t="str">
        <f>IF(COUNTA(I134:I138)=0,"",COUNTIF(I134:I138,"Ya")/5*100)</f>
        <v/>
      </c>
      <c r="J133" s="31" t="str">
        <f>IF(COUNTA(J134:J138)=0,"",COUNTIF(J134:J138,"Ya")/5*100)</f>
        <v/>
      </c>
      <c r="K133" s="31" t="str">
        <f>IF(COUNTA(K134:K138)=0,"",COUNTIF(K134:K138,"Ya")/5*100)</f>
        <v/>
      </c>
      <c r="L133" s="31" t="str">
        <f>IF(COUNTA(L134:L138)=0,"",COUNTIF(L134:L138,"Ya")/5*100)</f>
        <v/>
      </c>
      <c r="M133" s="31" t="str">
        <f>IF(COUNTA(M134:M138)=0,"",COUNTIF(M134:M138,"Ya")/5*100)</f>
        <v/>
      </c>
      <c r="N133" s="31" t="str">
        <f>IF(COUNTA(N134:N138)=0,"",COUNTIF(N134:N138,"Ya")/5*100)</f>
        <v/>
      </c>
      <c r="O133" s="31" t="str">
        <f>IF(COUNTA(O134:O138)=0,"",COUNTIF(O134:O138,"Ya")/5*100)</f>
        <v/>
      </c>
      <c r="P133" s="31" t="str">
        <f>IF(COUNTA(P134:P138)=0,"",COUNTIF(P134:P138,"Ya")/5*100)</f>
        <v/>
      </c>
      <c r="Q133" s="31" t="str">
        <f>IF(COUNTA(Q134:Q138)=0,"",COUNTIF(Q134:Q138,"Ya")/5*100)</f>
        <v/>
      </c>
      <c r="R133" s="31" t="str">
        <f>IF(COUNTA(R134:R138)=0,"",COUNTIF(R134:R138,"Ya")/5*100)</f>
        <v/>
      </c>
      <c r="S133" s="31" t="str">
        <f>IF(COUNTA(S134:S138)=0,"",COUNTIF(S134:S138,"Ya")/5*100)</f>
        <v/>
      </c>
      <c r="T133" s="31" t="str">
        <f>IF(COUNTA(T134:T138)=0,"",COUNTIF(T134:T138,"Ya")/5*100)</f>
        <v/>
      </c>
      <c r="U133" s="31" t="str">
        <f>IF(COUNTA(U134:U138)=0,"",COUNTIF(U134:U138,"Ya")/5*100)</f>
        <v/>
      </c>
      <c r="V133" s="31" t="str">
        <f>IF(COUNTA(V134:V138)=0,"",COUNTIF(V134:V138,"Ya")/5*100)</f>
        <v/>
      </c>
      <c r="W133" s="31" t="str">
        <f>IF(COUNTA(W134:W138)=0,"",COUNTIF(W134:W138,"Ya")/5*100)</f>
        <v/>
      </c>
      <c r="X133" s="31" t="str">
        <f>IF(COUNTA(X134:X138)=0,"",COUNTIF(X134:X138,"Ya")/5*100)</f>
        <v/>
      </c>
      <c r="Y133" s="31" t="str">
        <f>IF(COUNTA(Y134:Y138)=0,"",COUNTIF(Y134:Y138,"Ya")/5*100)</f>
        <v/>
      </c>
      <c r="Z133" s="31" t="str">
        <f>_xlfn.IFERROR(AVERAGE(E133:Y133),"")</f>
        <v/>
      </c>
    </row>
    <row r="134" spans="8:8" ht="25.0" customHeight="1">
      <c r="A134" s="32"/>
      <c r="B134" s="33" t="s">
        <v>1360</v>
      </c>
      <c r="C134" s="34" t="s">
        <v>1361</v>
      </c>
      <c r="D134" s="32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spans="8:8" ht="25.0" customHeight="1">
      <c r="A135" s="32"/>
      <c r="B135" s="33" t="s">
        <v>1362</v>
      </c>
      <c r="C135" s="34" t="s">
        <v>1363</v>
      </c>
      <c r="D135" s="32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spans="8:8" ht="25.0" customHeight="1">
      <c r="A136" s="32"/>
      <c r="B136" s="33" t="s">
        <v>1364</v>
      </c>
      <c r="C136" s="34" t="s">
        <v>1365</v>
      </c>
      <c r="D136" s="32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spans="8:8" ht="25.0" customHeight="1">
      <c r="A137" s="32"/>
      <c r="B137" s="33" t="s">
        <v>1366</v>
      </c>
      <c r="C137" s="34" t="s">
        <v>1367</v>
      </c>
      <c r="D137" s="32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spans="8:8" ht="25.0" customHeight="1">
      <c r="A138" s="32"/>
      <c r="B138" s="33" t="s">
        <v>1368</v>
      </c>
      <c r="C138" s="34" t="s">
        <v>1369</v>
      </c>
      <c r="D138" s="32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spans="8:8" ht="28.0" customHeight="1">
      <c r="A139" s="28"/>
      <c r="B139" s="29" t="s">
        <v>1145</v>
      </c>
      <c r="C139" s="30" t="s">
        <v>1146</v>
      </c>
      <c r="D139" s="29">
        <v>4.0</v>
      </c>
      <c r="E139" s="31" t="str">
        <f>IF(COUNTA(E140:E144)=0,"",COUNTIF(E140:E144,"Ya")/5*100)</f>
        <v/>
      </c>
      <c r="F139" s="31" t="str">
        <f>IF(COUNTA(F140:F144)=0,"",COUNTIF(F140:F144,"Ya")/5*100)</f>
        <v/>
      </c>
      <c r="G139" s="31" t="str">
        <f>IF(COUNTA(G140:G144)=0,"",COUNTIF(G140:G144,"Ya")/5*100)</f>
        <v/>
      </c>
      <c r="H139" s="31" t="str">
        <f>IF(COUNTA(H140:H144)=0,"",COUNTIF(H140:H144,"Ya")/5*100)</f>
        <v/>
      </c>
      <c r="I139" s="31" t="str">
        <f>IF(COUNTA(I140:I144)=0,"",COUNTIF(I140:I144,"Ya")/5*100)</f>
        <v/>
      </c>
      <c r="J139" s="31" t="str">
        <f>IF(COUNTA(J140:J144)=0,"",COUNTIF(J140:J144,"Ya")/5*100)</f>
        <v/>
      </c>
      <c r="K139" s="31" t="str">
        <f>IF(COUNTA(K140:K144)=0,"",COUNTIF(K140:K144,"Ya")/5*100)</f>
        <v/>
      </c>
      <c r="L139" s="31" t="str">
        <f>IF(COUNTA(L140:L144)=0,"",COUNTIF(L140:L144,"Ya")/5*100)</f>
        <v/>
      </c>
      <c r="M139" s="31" t="str">
        <f>IF(COUNTA(M140:M144)=0,"",COUNTIF(M140:M144,"Ya")/5*100)</f>
        <v/>
      </c>
      <c r="N139" s="31" t="str">
        <f>IF(COUNTA(N140:N144)=0,"",COUNTIF(N140:N144,"Ya")/5*100)</f>
        <v/>
      </c>
      <c r="O139" s="31" t="str">
        <f>IF(COUNTA(O140:O144)=0,"",COUNTIF(O140:O144,"Ya")/5*100)</f>
        <v/>
      </c>
      <c r="P139" s="31" t="str">
        <f>IF(COUNTA(P140:P144)=0,"",COUNTIF(P140:P144,"Ya")/5*100)</f>
        <v/>
      </c>
      <c r="Q139" s="31" t="str">
        <f>IF(COUNTA(Q140:Q144)=0,"",COUNTIF(Q140:Q144,"Ya")/5*100)</f>
        <v/>
      </c>
      <c r="R139" s="31" t="str">
        <f>IF(COUNTA(R140:R144)=0,"",COUNTIF(R140:R144,"Ya")/5*100)</f>
        <v/>
      </c>
      <c r="S139" s="31" t="str">
        <f>IF(COUNTA(S140:S144)=0,"",COUNTIF(S140:S144,"Ya")/5*100)</f>
        <v/>
      </c>
      <c r="T139" s="31" t="str">
        <f>IF(COUNTA(T140:T144)=0,"",COUNTIF(T140:T144,"Ya")/5*100)</f>
        <v/>
      </c>
      <c r="U139" s="31" t="str">
        <f>IF(COUNTA(U140:U144)=0,"",COUNTIF(U140:U144,"Ya")/5*100)</f>
        <v/>
      </c>
      <c r="V139" s="31" t="str">
        <f>IF(COUNTA(V140:V144)=0,"",COUNTIF(V140:V144,"Ya")/5*100)</f>
        <v/>
      </c>
      <c r="W139" s="31" t="str">
        <f>IF(COUNTA(W140:W144)=0,"",COUNTIF(W140:W144,"Ya")/5*100)</f>
        <v/>
      </c>
      <c r="X139" s="31" t="str">
        <f>IF(COUNTA(X140:X144)=0,"",COUNTIF(X140:X144,"Ya")/5*100)</f>
        <v/>
      </c>
      <c r="Y139" s="31" t="str">
        <f>IF(COUNTA(Y140:Y144)=0,"",COUNTIF(Y140:Y144,"Ya")/5*100)</f>
        <v/>
      </c>
      <c r="Z139" s="31" t="str">
        <f>_xlfn.IFERROR(AVERAGE(E139:Y139),"")</f>
        <v/>
      </c>
    </row>
    <row r="140" spans="8:8" ht="25.0" customHeight="1">
      <c r="A140" s="32"/>
      <c r="B140" s="33" t="s">
        <v>1370</v>
      </c>
      <c r="C140" s="34" t="s">
        <v>1371</v>
      </c>
      <c r="D140" s="32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spans="8:8" ht="25.0" customHeight="1">
      <c r="A141" s="32"/>
      <c r="B141" s="33" t="s">
        <v>1372</v>
      </c>
      <c r="C141" s="34" t="s">
        <v>1373</v>
      </c>
      <c r="D141" s="32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spans="8:8" ht="25.0" customHeight="1">
      <c r="A142" s="32"/>
      <c r="B142" s="33" t="s">
        <v>1374</v>
      </c>
      <c r="C142" s="34" t="s">
        <v>1375</v>
      </c>
      <c r="D142" s="32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spans="8:8" ht="25.0" customHeight="1">
      <c r="A143" s="32"/>
      <c r="B143" s="33" t="s">
        <v>1376</v>
      </c>
      <c r="C143" s="34" t="s">
        <v>1377</v>
      </c>
      <c r="D143" s="32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spans="8:8" ht="25.0" customHeight="1">
      <c r="A144" s="32"/>
      <c r="B144" s="33" t="s">
        <v>1378</v>
      </c>
      <c r="C144" s="34" t="s">
        <v>1379</v>
      </c>
      <c r="D144" s="32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spans="8:8" ht="28.0" customHeight="1">
      <c r="A145" s="28"/>
      <c r="B145" s="29" t="s">
        <v>1147</v>
      </c>
      <c r="C145" s="30" t="s">
        <v>1148</v>
      </c>
      <c r="D145" s="29">
        <v>4.0</v>
      </c>
      <c r="E145" s="31" t="str">
        <f>IF(COUNTA(E146:E150)=0,"",COUNTIF(E146:E150,"Ya")/5*100)</f>
        <v/>
      </c>
      <c r="F145" s="31" t="str">
        <f>IF(COUNTA(F146:F150)=0,"",COUNTIF(F146:F150,"Ya")/5*100)</f>
        <v/>
      </c>
      <c r="G145" s="31" t="str">
        <f>IF(COUNTA(G146:G150)=0,"",COUNTIF(G146:G150,"Ya")/5*100)</f>
        <v/>
      </c>
      <c r="H145" s="31" t="str">
        <f>IF(COUNTA(H146:H150)=0,"",COUNTIF(H146:H150,"Ya")/5*100)</f>
        <v/>
      </c>
      <c r="I145" s="31" t="str">
        <f>IF(COUNTA(I146:I150)=0,"",COUNTIF(I146:I150,"Ya")/5*100)</f>
        <v/>
      </c>
      <c r="J145" s="31" t="str">
        <f>IF(COUNTA(J146:J150)=0,"",COUNTIF(J146:J150,"Ya")/5*100)</f>
        <v/>
      </c>
      <c r="K145" s="31" t="str">
        <f>IF(COUNTA(K146:K150)=0,"",COUNTIF(K146:K150,"Ya")/5*100)</f>
        <v/>
      </c>
      <c r="L145" s="31" t="str">
        <f>IF(COUNTA(L146:L150)=0,"",COUNTIF(L146:L150,"Ya")/5*100)</f>
        <v/>
      </c>
      <c r="M145" s="31" t="str">
        <f>IF(COUNTA(M146:M150)=0,"",COUNTIF(M146:M150,"Ya")/5*100)</f>
        <v/>
      </c>
      <c r="N145" s="31" t="str">
        <f>IF(COUNTA(N146:N150)=0,"",COUNTIF(N146:N150,"Ya")/5*100)</f>
        <v/>
      </c>
      <c r="O145" s="31" t="str">
        <f>IF(COUNTA(O146:O150)=0,"",COUNTIF(O146:O150,"Ya")/5*100)</f>
        <v/>
      </c>
      <c r="P145" s="31" t="str">
        <f>IF(COUNTA(P146:P150)=0,"",COUNTIF(P146:P150,"Ya")/5*100)</f>
        <v/>
      </c>
      <c r="Q145" s="31" t="str">
        <f>IF(COUNTA(Q146:Q150)=0,"",COUNTIF(Q146:Q150,"Ya")/5*100)</f>
        <v/>
      </c>
      <c r="R145" s="31" t="str">
        <f>IF(COUNTA(R146:R150)=0,"",COUNTIF(R146:R150,"Ya")/5*100)</f>
        <v/>
      </c>
      <c r="S145" s="31" t="str">
        <f>IF(COUNTA(S146:S150)=0,"",COUNTIF(S146:S150,"Ya")/5*100)</f>
        <v/>
      </c>
      <c r="T145" s="31" t="str">
        <f>IF(COUNTA(T146:T150)=0,"",COUNTIF(T146:T150,"Ya")/5*100)</f>
        <v/>
      </c>
      <c r="U145" s="31" t="str">
        <f>IF(COUNTA(U146:U150)=0,"",COUNTIF(U146:U150,"Ya")/5*100)</f>
        <v/>
      </c>
      <c r="V145" s="31" t="str">
        <f>IF(COUNTA(V146:V150)=0,"",COUNTIF(V146:V150,"Ya")/5*100)</f>
        <v/>
      </c>
      <c r="W145" s="31" t="str">
        <f>IF(COUNTA(W146:W150)=0,"",COUNTIF(W146:W150,"Ya")/5*100)</f>
        <v/>
      </c>
      <c r="X145" s="31" t="str">
        <f>IF(COUNTA(X146:X150)=0,"",COUNTIF(X146:X150,"Ya")/5*100)</f>
        <v/>
      </c>
      <c r="Y145" s="31" t="str">
        <f>IF(COUNTA(Y146:Y150)=0,"",COUNTIF(Y146:Y150,"Ya")/5*100)</f>
        <v/>
      </c>
      <c r="Z145" s="31" t="str">
        <f>_xlfn.IFERROR(AVERAGE(E145:Y145),"")</f>
        <v/>
      </c>
    </row>
    <row r="146" spans="8:8" ht="25.0" customHeight="1">
      <c r="A146" s="32"/>
      <c r="B146" s="33" t="s">
        <v>1380</v>
      </c>
      <c r="C146" s="34" t="s">
        <v>1381</v>
      </c>
      <c r="D146" s="32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spans="8:8" ht="25.0" customHeight="1">
      <c r="A147" s="32"/>
      <c r="B147" s="33" t="s">
        <v>1382</v>
      </c>
      <c r="C147" s="34" t="s">
        <v>1383</v>
      </c>
      <c r="D147" s="32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spans="8:8" ht="25.0" customHeight="1">
      <c r="A148" s="32"/>
      <c r="B148" s="33" t="s">
        <v>1384</v>
      </c>
      <c r="C148" s="34" t="s">
        <v>1385</v>
      </c>
      <c r="D148" s="32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spans="8:8" ht="25.0" customHeight="1">
      <c r="A149" s="32"/>
      <c r="B149" s="33" t="s">
        <v>1386</v>
      </c>
      <c r="C149" s="34" t="s">
        <v>1387</v>
      </c>
      <c r="D149" s="32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spans="8:8" ht="25.0" customHeight="1">
      <c r="A150" s="32"/>
      <c r="B150" s="33" t="s">
        <v>1388</v>
      </c>
      <c r="C150" s="34" t="s">
        <v>1389</v>
      </c>
      <c r="D150" s="32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spans="8:8" ht="28.0" customHeight="1">
      <c r="A151" s="28"/>
      <c r="B151" s="29" t="s">
        <v>1149</v>
      </c>
      <c r="C151" s="30" t="s">
        <v>1150</v>
      </c>
      <c r="D151" s="29">
        <v>4.0</v>
      </c>
      <c r="E151" s="31" t="str">
        <f>IF(COUNTA(E152:E156)=0,"",COUNTIF(E152:E156,"Ya")/5*100)</f>
        <v/>
      </c>
      <c r="F151" s="31" t="str">
        <f>IF(COUNTA(F152:F156)=0,"",COUNTIF(F152:F156,"Ya")/5*100)</f>
        <v/>
      </c>
      <c r="G151" s="31" t="str">
        <f>IF(COUNTA(G152:G156)=0,"",COUNTIF(G152:G156,"Ya")/5*100)</f>
        <v/>
      </c>
      <c r="H151" s="31" t="str">
        <f>IF(COUNTA(H152:H156)=0,"",COUNTIF(H152:H156,"Ya")/5*100)</f>
        <v/>
      </c>
      <c r="I151" s="31" t="str">
        <f>IF(COUNTA(I152:I156)=0,"",COUNTIF(I152:I156,"Ya")/5*100)</f>
        <v/>
      </c>
      <c r="J151" s="31" t="str">
        <f>IF(COUNTA(J152:J156)=0,"",COUNTIF(J152:J156,"Ya")/5*100)</f>
        <v/>
      </c>
      <c r="K151" s="31" t="str">
        <f>IF(COUNTA(K152:K156)=0,"",COUNTIF(K152:K156,"Ya")/5*100)</f>
        <v/>
      </c>
      <c r="L151" s="31" t="str">
        <f>IF(COUNTA(L152:L156)=0,"",COUNTIF(L152:L156,"Ya")/5*100)</f>
        <v/>
      </c>
      <c r="M151" s="31" t="str">
        <f>IF(COUNTA(M152:M156)=0,"",COUNTIF(M152:M156,"Ya")/5*100)</f>
        <v/>
      </c>
      <c r="N151" s="31" t="str">
        <f>IF(COUNTA(N152:N156)=0,"",COUNTIF(N152:N156,"Ya")/5*100)</f>
        <v/>
      </c>
      <c r="O151" s="31" t="str">
        <f>IF(COUNTA(O152:O156)=0,"",COUNTIF(O152:O156,"Ya")/5*100)</f>
        <v/>
      </c>
      <c r="P151" s="31" t="str">
        <f>IF(COUNTA(P152:P156)=0,"",COUNTIF(P152:P156,"Ya")/5*100)</f>
        <v/>
      </c>
      <c r="Q151" s="31" t="str">
        <f>IF(COUNTA(Q152:Q156)=0,"",COUNTIF(Q152:Q156,"Ya")/5*100)</f>
        <v/>
      </c>
      <c r="R151" s="31" t="str">
        <f>IF(COUNTA(R152:R156)=0,"",COUNTIF(R152:R156,"Ya")/5*100)</f>
        <v/>
      </c>
      <c r="S151" s="31" t="str">
        <f>IF(COUNTA(S152:S156)=0,"",COUNTIF(S152:S156,"Ya")/5*100)</f>
        <v/>
      </c>
      <c r="T151" s="31" t="str">
        <f>IF(COUNTA(T152:T156)=0,"",COUNTIF(T152:T156,"Ya")/5*100)</f>
        <v/>
      </c>
      <c r="U151" s="31" t="str">
        <f>IF(COUNTA(U152:U156)=0,"",COUNTIF(U152:U156,"Ya")/5*100)</f>
        <v/>
      </c>
      <c r="V151" s="31" t="str">
        <f>IF(COUNTA(V152:V156)=0,"",COUNTIF(V152:V156,"Ya")/5*100)</f>
        <v/>
      </c>
      <c r="W151" s="31" t="str">
        <f>IF(COUNTA(W152:W156)=0,"",COUNTIF(W152:W156,"Ya")/5*100)</f>
        <v/>
      </c>
      <c r="X151" s="31" t="str">
        <f>IF(COUNTA(X152:X156)=0,"",COUNTIF(X152:X156,"Ya")/5*100)</f>
        <v/>
      </c>
      <c r="Y151" s="31" t="str">
        <f>IF(COUNTA(Y152:Y156)=0,"",COUNTIF(Y152:Y156,"Ya")/5*100)</f>
        <v/>
      </c>
      <c r="Z151" s="31" t="str">
        <f>_xlfn.IFERROR(AVERAGE(E151:Y151),"")</f>
        <v/>
      </c>
    </row>
    <row r="152" spans="8:8" ht="25.0" customHeight="1">
      <c r="A152" s="32"/>
      <c r="B152" s="33" t="s">
        <v>1390</v>
      </c>
      <c r="C152" s="34" t="s">
        <v>1391</v>
      </c>
      <c r="D152" s="32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spans="8:8" ht="25.0" customHeight="1">
      <c r="A153" s="32"/>
      <c r="B153" s="33" t="s">
        <v>1392</v>
      </c>
      <c r="C153" s="34" t="s">
        <v>1393</v>
      </c>
      <c r="D153" s="32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spans="8:8" ht="25.0" customHeight="1">
      <c r="A154" s="32"/>
      <c r="B154" s="33" t="s">
        <v>1394</v>
      </c>
      <c r="C154" s="34" t="s">
        <v>1395</v>
      </c>
      <c r="D154" s="32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spans="8:8" ht="25.0" customHeight="1">
      <c r="A155" s="32"/>
      <c r="B155" s="33" t="s">
        <v>1396</v>
      </c>
      <c r="C155" s="34" t="s">
        <v>1397</v>
      </c>
      <c r="D155" s="32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spans="8:8" ht="25.0" customHeight="1">
      <c r="A156" s="32"/>
      <c r="B156" s="33" t="s">
        <v>1398</v>
      </c>
      <c r="C156" s="34" t="s">
        <v>1399</v>
      </c>
      <c r="D156" s="32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spans="8:8" ht="28.0" customHeight="1">
      <c r="A157" s="28"/>
      <c r="B157" s="29" t="s">
        <v>1151</v>
      </c>
      <c r="C157" s="30" t="s">
        <v>1152</v>
      </c>
      <c r="D157" s="29">
        <v>4.0</v>
      </c>
      <c r="E157" s="31" t="str">
        <f>IF(COUNTA(E158:E162)=0,"",COUNTIF(E158:E162,"Ya")/5*100)</f>
        <v/>
      </c>
      <c r="F157" s="31" t="str">
        <f>IF(COUNTA(F158:F162)=0,"",COUNTIF(F158:F162,"Ya")/5*100)</f>
        <v/>
      </c>
      <c r="G157" s="31" t="str">
        <f>IF(COUNTA(G158:G162)=0,"",COUNTIF(G158:G162,"Ya")/5*100)</f>
        <v/>
      </c>
      <c r="H157" s="31" t="str">
        <f>IF(COUNTA(H158:H162)=0,"",COUNTIF(H158:H162,"Ya")/5*100)</f>
        <v/>
      </c>
      <c r="I157" s="31" t="str">
        <f>IF(COUNTA(I158:I162)=0,"",COUNTIF(I158:I162,"Ya")/5*100)</f>
        <v/>
      </c>
      <c r="J157" s="31" t="str">
        <f>IF(COUNTA(J158:J162)=0,"",COUNTIF(J158:J162,"Ya")/5*100)</f>
        <v/>
      </c>
      <c r="K157" s="31" t="str">
        <f>IF(COUNTA(K158:K162)=0,"",COUNTIF(K158:K162,"Ya")/5*100)</f>
        <v/>
      </c>
      <c r="L157" s="31" t="str">
        <f>IF(COUNTA(L158:L162)=0,"",COUNTIF(L158:L162,"Ya")/5*100)</f>
        <v/>
      </c>
      <c r="M157" s="31" t="str">
        <f>IF(COUNTA(M158:M162)=0,"",COUNTIF(M158:M162,"Ya")/5*100)</f>
        <v/>
      </c>
      <c r="N157" s="31" t="str">
        <f>IF(COUNTA(N158:N162)=0,"",COUNTIF(N158:N162,"Ya")/5*100)</f>
        <v/>
      </c>
      <c r="O157" s="31" t="str">
        <f>IF(COUNTA(O158:O162)=0,"",COUNTIF(O158:O162,"Ya")/5*100)</f>
        <v/>
      </c>
      <c r="P157" s="31" t="str">
        <f>IF(COUNTA(P158:P162)=0,"",COUNTIF(P158:P162,"Ya")/5*100)</f>
        <v/>
      </c>
      <c r="Q157" s="31" t="str">
        <f>IF(COUNTA(Q158:Q162)=0,"",COUNTIF(Q158:Q162,"Ya")/5*100)</f>
        <v/>
      </c>
      <c r="R157" s="31" t="str">
        <f>IF(COUNTA(R158:R162)=0,"",COUNTIF(R158:R162,"Ya")/5*100)</f>
        <v/>
      </c>
      <c r="S157" s="31" t="str">
        <f>IF(COUNTA(S158:S162)=0,"",COUNTIF(S158:S162,"Ya")/5*100)</f>
        <v/>
      </c>
      <c r="T157" s="31" t="str">
        <f>IF(COUNTA(T158:T162)=0,"",COUNTIF(T158:T162,"Ya")/5*100)</f>
        <v/>
      </c>
      <c r="U157" s="31" t="str">
        <f>IF(COUNTA(U158:U162)=0,"",COUNTIF(U158:U162,"Ya")/5*100)</f>
        <v/>
      </c>
      <c r="V157" s="31" t="str">
        <f>IF(COUNTA(V158:V162)=0,"",COUNTIF(V158:V162,"Ya")/5*100)</f>
        <v/>
      </c>
      <c r="W157" s="31" t="str">
        <f>IF(COUNTA(W158:W162)=0,"",COUNTIF(W158:W162,"Ya")/5*100)</f>
        <v/>
      </c>
      <c r="X157" s="31" t="str">
        <f>IF(COUNTA(X158:X162)=0,"",COUNTIF(X158:X162,"Ya")/5*100)</f>
        <v/>
      </c>
      <c r="Y157" s="31" t="str">
        <f>IF(COUNTA(Y158:Y162)=0,"",COUNTIF(Y158:Y162,"Ya")/5*100)</f>
        <v/>
      </c>
      <c r="Z157" s="31" t="str">
        <f>_xlfn.IFERROR(AVERAGE(E157:Y157),"")</f>
        <v/>
      </c>
    </row>
    <row r="158" spans="8:8" ht="25.0" customHeight="1">
      <c r="A158" s="32"/>
      <c r="B158" s="33" t="s">
        <v>1400</v>
      </c>
      <c r="C158" s="34" t="s">
        <v>1401</v>
      </c>
      <c r="D158" s="32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spans="8:8" ht="25.0" customHeight="1">
      <c r="A159" s="32"/>
      <c r="B159" s="33" t="s">
        <v>1402</v>
      </c>
      <c r="C159" s="34" t="s">
        <v>1403</v>
      </c>
      <c r="D159" s="32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spans="8:8" ht="25.0" customHeight="1">
      <c r="A160" s="32"/>
      <c r="B160" s="33" t="s">
        <v>1404</v>
      </c>
      <c r="C160" s="34" t="s">
        <v>1405</v>
      </c>
      <c r="D160" s="32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spans="8:8" ht="25.0" customHeight="1">
      <c r="A161" s="32"/>
      <c r="B161" s="33" t="s">
        <v>1406</v>
      </c>
      <c r="C161" s="34" t="s">
        <v>1407</v>
      </c>
      <c r="D161" s="32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spans="8:8" ht="25.0" customHeight="1">
      <c r="A162" s="32"/>
      <c r="B162" s="33" t="s">
        <v>1408</v>
      </c>
      <c r="C162" s="34" t="s">
        <v>1409</v>
      </c>
      <c r="D162" s="32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spans="8:8" ht="18.0" customHeight="1">
      <c r="A163" s="36"/>
      <c r="B163" s="36"/>
      <c r="C163" s="37" t="s">
        <v>1410</v>
      </c>
      <c r="D163" s="38">
        <v>20.0</v>
      </c>
      <c r="E163" s="39" t="str">
        <f>IF((IF(ISNUMBER(E133),4,0)+IF(ISNUMBER(E139),4,0)+IF(ISNUMBER(E145),4,0)+IF(ISNUMBER(E151),4,0)+IF(ISNUMBER(E157),4,0))=0,"",(IF(ISNUMBER(E133),E133*4,0)+IF(ISNUMBER(E139),E139*4,0)+IF(ISNUMBER(E145),E145*4,0)+IF(ISNUMBER(E151),E151*4,0)+IF(ISNUMBER(E157),E157*4,0))/(IF(ISNUMBER(E133),4,0)+IF(ISNUMBER(E139),4,0)+IF(ISNUMBER(E145),4,0)+IF(ISNUMBER(E151),4,0)+IF(ISNUMBER(E157),4,0)))</f>
        <v/>
      </c>
      <c r="F163" s="39" t="str">
        <f>IF((IF(ISNUMBER(F133),4,0)+IF(ISNUMBER(F139),4,0)+IF(ISNUMBER(F145),4,0)+IF(ISNUMBER(F151),4,0)+IF(ISNUMBER(F157),4,0))=0,"",(IF(ISNUMBER(F133),F133*4,0)+IF(ISNUMBER(F139),F139*4,0)+IF(ISNUMBER(F145),F145*4,0)+IF(ISNUMBER(F151),F151*4,0)+IF(ISNUMBER(F157),F157*4,0))/(IF(ISNUMBER(F133),4,0)+IF(ISNUMBER(F139),4,0)+IF(ISNUMBER(F145),4,0)+IF(ISNUMBER(F151),4,0)+IF(ISNUMBER(F157),4,0)))</f>
        <v/>
      </c>
      <c r="G163" s="39" t="str">
        <f>IF((IF(ISNUMBER(G133),4,0)+IF(ISNUMBER(G139),4,0)+IF(ISNUMBER(G145),4,0)+IF(ISNUMBER(G151),4,0)+IF(ISNUMBER(G157),4,0))=0,"",(IF(ISNUMBER(G133),G133*4,0)+IF(ISNUMBER(G139),G139*4,0)+IF(ISNUMBER(G145),G145*4,0)+IF(ISNUMBER(G151),G151*4,0)+IF(ISNUMBER(G157),G157*4,0))/(IF(ISNUMBER(G133),4,0)+IF(ISNUMBER(G139),4,0)+IF(ISNUMBER(G145),4,0)+IF(ISNUMBER(G151),4,0)+IF(ISNUMBER(G157),4,0)))</f>
        <v/>
      </c>
      <c r="H163" s="39" t="str">
        <f>IF((IF(ISNUMBER(H133),4,0)+IF(ISNUMBER(H139),4,0)+IF(ISNUMBER(H145),4,0)+IF(ISNUMBER(H151),4,0)+IF(ISNUMBER(H157),4,0))=0,"",(IF(ISNUMBER(H133),H133*4,0)+IF(ISNUMBER(H139),H139*4,0)+IF(ISNUMBER(H145),H145*4,0)+IF(ISNUMBER(H151),H151*4,0)+IF(ISNUMBER(H157),H157*4,0))/(IF(ISNUMBER(H133),4,0)+IF(ISNUMBER(H139),4,0)+IF(ISNUMBER(H145),4,0)+IF(ISNUMBER(H151),4,0)+IF(ISNUMBER(H157),4,0)))</f>
        <v/>
      </c>
      <c r="I163" s="39" t="str">
        <f>IF((IF(ISNUMBER(I133),4,0)+IF(ISNUMBER(I139),4,0)+IF(ISNUMBER(I145),4,0)+IF(ISNUMBER(I151),4,0)+IF(ISNUMBER(I157),4,0))=0,"",(IF(ISNUMBER(I133),I133*4,0)+IF(ISNUMBER(I139),I139*4,0)+IF(ISNUMBER(I145),I145*4,0)+IF(ISNUMBER(I151),I151*4,0)+IF(ISNUMBER(I157),I157*4,0))/(IF(ISNUMBER(I133),4,0)+IF(ISNUMBER(I139),4,0)+IF(ISNUMBER(I145),4,0)+IF(ISNUMBER(I151),4,0)+IF(ISNUMBER(I157),4,0)))</f>
        <v/>
      </c>
      <c r="J163" s="39" t="str">
        <f>IF((IF(ISNUMBER(J133),4,0)+IF(ISNUMBER(J139),4,0)+IF(ISNUMBER(J145),4,0)+IF(ISNUMBER(J151),4,0)+IF(ISNUMBER(J157),4,0))=0,"",(IF(ISNUMBER(J133),J133*4,0)+IF(ISNUMBER(J139),J139*4,0)+IF(ISNUMBER(J145),J145*4,0)+IF(ISNUMBER(J151),J151*4,0)+IF(ISNUMBER(J157),J157*4,0))/(IF(ISNUMBER(J133),4,0)+IF(ISNUMBER(J139),4,0)+IF(ISNUMBER(J145),4,0)+IF(ISNUMBER(J151),4,0)+IF(ISNUMBER(J157),4,0)))</f>
        <v/>
      </c>
      <c r="K163" s="39" t="str">
        <f>IF((IF(ISNUMBER(K133),4,0)+IF(ISNUMBER(K139),4,0)+IF(ISNUMBER(K145),4,0)+IF(ISNUMBER(K151),4,0)+IF(ISNUMBER(K157),4,0))=0,"",(IF(ISNUMBER(K133),K133*4,0)+IF(ISNUMBER(K139),K139*4,0)+IF(ISNUMBER(K145),K145*4,0)+IF(ISNUMBER(K151),K151*4,0)+IF(ISNUMBER(K157),K157*4,0))/(IF(ISNUMBER(K133),4,0)+IF(ISNUMBER(K139),4,0)+IF(ISNUMBER(K145),4,0)+IF(ISNUMBER(K151),4,0)+IF(ISNUMBER(K157),4,0)))</f>
        <v/>
      </c>
      <c r="L163" s="39" t="str">
        <f>IF((IF(ISNUMBER(L133),4,0)+IF(ISNUMBER(L139),4,0)+IF(ISNUMBER(L145),4,0)+IF(ISNUMBER(L151),4,0)+IF(ISNUMBER(L157),4,0))=0,"",(IF(ISNUMBER(L133),L133*4,0)+IF(ISNUMBER(L139),L139*4,0)+IF(ISNUMBER(L145),L145*4,0)+IF(ISNUMBER(L151),L151*4,0)+IF(ISNUMBER(L157),L157*4,0))/(IF(ISNUMBER(L133),4,0)+IF(ISNUMBER(L139),4,0)+IF(ISNUMBER(L145),4,0)+IF(ISNUMBER(L151),4,0)+IF(ISNUMBER(L157),4,0)))</f>
        <v/>
      </c>
      <c r="M163" s="39" t="str">
        <f>IF((IF(ISNUMBER(M133),4,0)+IF(ISNUMBER(M139),4,0)+IF(ISNUMBER(M145),4,0)+IF(ISNUMBER(M151),4,0)+IF(ISNUMBER(M157),4,0))=0,"",(IF(ISNUMBER(M133),M133*4,0)+IF(ISNUMBER(M139),M139*4,0)+IF(ISNUMBER(M145),M145*4,0)+IF(ISNUMBER(M151),M151*4,0)+IF(ISNUMBER(M157),M157*4,0))/(IF(ISNUMBER(M133),4,0)+IF(ISNUMBER(M139),4,0)+IF(ISNUMBER(M145),4,0)+IF(ISNUMBER(M151),4,0)+IF(ISNUMBER(M157),4,0)))</f>
        <v/>
      </c>
      <c r="N163" s="39" t="str">
        <f>IF((IF(ISNUMBER(N133),4,0)+IF(ISNUMBER(N139),4,0)+IF(ISNUMBER(N145),4,0)+IF(ISNUMBER(N151),4,0)+IF(ISNUMBER(N157),4,0))=0,"",(IF(ISNUMBER(N133),N133*4,0)+IF(ISNUMBER(N139),N139*4,0)+IF(ISNUMBER(N145),N145*4,0)+IF(ISNUMBER(N151),N151*4,0)+IF(ISNUMBER(N157),N157*4,0))/(IF(ISNUMBER(N133),4,0)+IF(ISNUMBER(N139),4,0)+IF(ISNUMBER(N145),4,0)+IF(ISNUMBER(N151),4,0)+IF(ISNUMBER(N157),4,0)))</f>
        <v/>
      </c>
      <c r="O163" s="39" t="str">
        <f>IF((IF(ISNUMBER(O133),4,0)+IF(ISNUMBER(O139),4,0)+IF(ISNUMBER(O145),4,0)+IF(ISNUMBER(O151),4,0)+IF(ISNUMBER(O157),4,0))=0,"",(IF(ISNUMBER(O133),O133*4,0)+IF(ISNUMBER(O139),O139*4,0)+IF(ISNUMBER(O145),O145*4,0)+IF(ISNUMBER(O151),O151*4,0)+IF(ISNUMBER(O157),O157*4,0))/(IF(ISNUMBER(O133),4,0)+IF(ISNUMBER(O139),4,0)+IF(ISNUMBER(O145),4,0)+IF(ISNUMBER(O151),4,0)+IF(ISNUMBER(O157),4,0)))</f>
        <v/>
      </c>
      <c r="P163" s="39" t="str">
        <f>IF((IF(ISNUMBER(P133),4,0)+IF(ISNUMBER(P139),4,0)+IF(ISNUMBER(P145),4,0)+IF(ISNUMBER(P151),4,0)+IF(ISNUMBER(P157),4,0))=0,"",(IF(ISNUMBER(P133),P133*4,0)+IF(ISNUMBER(P139),P139*4,0)+IF(ISNUMBER(P145),P145*4,0)+IF(ISNUMBER(P151),P151*4,0)+IF(ISNUMBER(P157),P157*4,0))/(IF(ISNUMBER(P133),4,0)+IF(ISNUMBER(P139),4,0)+IF(ISNUMBER(P145),4,0)+IF(ISNUMBER(P151),4,0)+IF(ISNUMBER(P157),4,0)))</f>
        <v/>
      </c>
      <c r="Q163" s="39" t="str">
        <f>IF((IF(ISNUMBER(Q133),4,0)+IF(ISNUMBER(Q139),4,0)+IF(ISNUMBER(Q145),4,0)+IF(ISNUMBER(Q151),4,0)+IF(ISNUMBER(Q157),4,0))=0,"",(IF(ISNUMBER(Q133),Q133*4,0)+IF(ISNUMBER(Q139),Q139*4,0)+IF(ISNUMBER(Q145),Q145*4,0)+IF(ISNUMBER(Q151),Q151*4,0)+IF(ISNUMBER(Q157),Q157*4,0))/(IF(ISNUMBER(Q133),4,0)+IF(ISNUMBER(Q139),4,0)+IF(ISNUMBER(Q145),4,0)+IF(ISNUMBER(Q151),4,0)+IF(ISNUMBER(Q157),4,0)))</f>
        <v/>
      </c>
      <c r="R163" s="39" t="str">
        <f>IF((IF(ISNUMBER(R133),4,0)+IF(ISNUMBER(R139),4,0)+IF(ISNUMBER(R145),4,0)+IF(ISNUMBER(R151),4,0)+IF(ISNUMBER(R157),4,0))=0,"",(IF(ISNUMBER(R133),R133*4,0)+IF(ISNUMBER(R139),R139*4,0)+IF(ISNUMBER(R145),R145*4,0)+IF(ISNUMBER(R151),R151*4,0)+IF(ISNUMBER(R157),R157*4,0))/(IF(ISNUMBER(R133),4,0)+IF(ISNUMBER(R139),4,0)+IF(ISNUMBER(R145),4,0)+IF(ISNUMBER(R151),4,0)+IF(ISNUMBER(R157),4,0)))</f>
        <v/>
      </c>
      <c r="S163" s="39" t="str">
        <f>IF((IF(ISNUMBER(S133),4,0)+IF(ISNUMBER(S139),4,0)+IF(ISNUMBER(S145),4,0)+IF(ISNUMBER(S151),4,0)+IF(ISNUMBER(S157),4,0))=0,"",(IF(ISNUMBER(S133),S133*4,0)+IF(ISNUMBER(S139),S139*4,0)+IF(ISNUMBER(S145),S145*4,0)+IF(ISNUMBER(S151),S151*4,0)+IF(ISNUMBER(S157),S157*4,0))/(IF(ISNUMBER(S133),4,0)+IF(ISNUMBER(S139),4,0)+IF(ISNUMBER(S145),4,0)+IF(ISNUMBER(S151),4,0)+IF(ISNUMBER(S157),4,0)))</f>
        <v/>
      </c>
      <c r="T163" s="39" t="str">
        <f>IF((IF(ISNUMBER(T133),4,0)+IF(ISNUMBER(T139),4,0)+IF(ISNUMBER(T145),4,0)+IF(ISNUMBER(T151),4,0)+IF(ISNUMBER(T157),4,0))=0,"",(IF(ISNUMBER(T133),T133*4,0)+IF(ISNUMBER(T139),T139*4,0)+IF(ISNUMBER(T145),T145*4,0)+IF(ISNUMBER(T151),T151*4,0)+IF(ISNUMBER(T157),T157*4,0))/(IF(ISNUMBER(T133),4,0)+IF(ISNUMBER(T139),4,0)+IF(ISNUMBER(T145),4,0)+IF(ISNUMBER(T151),4,0)+IF(ISNUMBER(T157),4,0)))</f>
        <v/>
      </c>
      <c r="U163" s="39" t="str">
        <f>IF((IF(ISNUMBER(U133),4,0)+IF(ISNUMBER(U139),4,0)+IF(ISNUMBER(U145),4,0)+IF(ISNUMBER(U151),4,0)+IF(ISNUMBER(U157),4,0))=0,"",(IF(ISNUMBER(U133),U133*4,0)+IF(ISNUMBER(U139),U139*4,0)+IF(ISNUMBER(U145),U145*4,0)+IF(ISNUMBER(U151),U151*4,0)+IF(ISNUMBER(U157),U157*4,0))/(IF(ISNUMBER(U133),4,0)+IF(ISNUMBER(U139),4,0)+IF(ISNUMBER(U145),4,0)+IF(ISNUMBER(U151),4,0)+IF(ISNUMBER(U157),4,0)))</f>
        <v/>
      </c>
      <c r="V163" s="39" t="str">
        <f>IF((IF(ISNUMBER(V133),4,0)+IF(ISNUMBER(V139),4,0)+IF(ISNUMBER(V145),4,0)+IF(ISNUMBER(V151),4,0)+IF(ISNUMBER(V157),4,0))=0,"",(IF(ISNUMBER(V133),V133*4,0)+IF(ISNUMBER(V139),V139*4,0)+IF(ISNUMBER(V145),V145*4,0)+IF(ISNUMBER(V151),V151*4,0)+IF(ISNUMBER(V157),V157*4,0))/(IF(ISNUMBER(V133),4,0)+IF(ISNUMBER(V139),4,0)+IF(ISNUMBER(V145),4,0)+IF(ISNUMBER(V151),4,0)+IF(ISNUMBER(V157),4,0)))</f>
        <v/>
      </c>
      <c r="W163" s="39" t="str">
        <f>IF((IF(ISNUMBER(W133),4,0)+IF(ISNUMBER(W139),4,0)+IF(ISNUMBER(W145),4,0)+IF(ISNUMBER(W151),4,0)+IF(ISNUMBER(W157),4,0))=0,"",(IF(ISNUMBER(W133),W133*4,0)+IF(ISNUMBER(W139),W139*4,0)+IF(ISNUMBER(W145),W145*4,0)+IF(ISNUMBER(W151),W151*4,0)+IF(ISNUMBER(W157),W157*4,0))/(IF(ISNUMBER(W133),4,0)+IF(ISNUMBER(W139),4,0)+IF(ISNUMBER(W145),4,0)+IF(ISNUMBER(W151),4,0)+IF(ISNUMBER(W157),4,0)))</f>
        <v/>
      </c>
      <c r="X163" s="39" t="str">
        <f>IF((IF(ISNUMBER(X133),4,0)+IF(ISNUMBER(X139),4,0)+IF(ISNUMBER(X145),4,0)+IF(ISNUMBER(X151),4,0)+IF(ISNUMBER(X157),4,0))=0,"",(IF(ISNUMBER(X133),X133*4,0)+IF(ISNUMBER(X139),X139*4,0)+IF(ISNUMBER(X145),X145*4,0)+IF(ISNUMBER(X151),X151*4,0)+IF(ISNUMBER(X157),X157*4,0))/(IF(ISNUMBER(X133),4,0)+IF(ISNUMBER(X139),4,0)+IF(ISNUMBER(X145),4,0)+IF(ISNUMBER(X151),4,0)+IF(ISNUMBER(X157),4,0)))</f>
        <v/>
      </c>
      <c r="Y163" s="39" t="str">
        <f>IF((IF(ISNUMBER(Y133),4,0)+IF(ISNUMBER(Y139),4,0)+IF(ISNUMBER(Y145),4,0)+IF(ISNUMBER(Y151),4,0)+IF(ISNUMBER(Y157),4,0))=0,"",(IF(ISNUMBER(Y133),Y133*4,0)+IF(ISNUMBER(Y139),Y139*4,0)+IF(ISNUMBER(Y145),Y145*4,0)+IF(ISNUMBER(Y151),Y151*4,0)+IF(ISNUMBER(Y157),Y157*4,0))/(IF(ISNUMBER(Y133),4,0)+IF(ISNUMBER(Y139),4,0)+IF(ISNUMBER(Y145),4,0)+IF(ISNUMBER(Y151),4,0)+IF(ISNUMBER(Y157),4,0)))</f>
        <v/>
      </c>
      <c r="Z163" s="39" t="str">
        <f>_xlfn.IFERROR(AVERAGE(E163:Y163),"")</f>
        <v/>
      </c>
    </row>
    <row r="164" spans="8:8" ht="22.0" customHeight="1">
      <c r="A164" s="40" t="s">
        <v>1411</v>
      </c>
      <c r="E164" s="41" t="str">
        <f>IF((IF(ISNUMBER(E5),4,0)+IF(ISNUMBER(E11),4,0)+IF(ISNUMBER(E17),4,0)+IF(ISNUMBER(E23),4,0)+IF(ISNUMBER(E29),4,0)+IF(ISNUMBER(E37),4,0)+IF(ISNUMBER(E43),4,0)+IF(ISNUMBER(E49),4,0)+IF(ISNUMBER(E55),4,0)+IF(ISNUMBER(E61),4,0)+IF(ISNUMBER(E69),4,0)+IF(ISNUMBER(E75),4,0)+IF(ISNUMBER(E81),4,0)+IF(ISNUMBER(E87),4,0)+IF(ISNUMBER(E93),4,0)+IF(ISNUMBER(E101),4,0)+IF(ISNUMBER(E107),4,0)+IF(ISNUMBER(E113),4,0)+IF(ISNUMBER(E119),4,0)+IF(ISNUMBER(E125),4,0)+IF(ISNUMBER(E133),4,0)+IF(ISNUMBER(E139),4,0)+IF(ISNUMBER(E145),4,0)+IF(ISNUMBER(E151),4,0)+IF(ISNUMBER(E157),4,0))=0,"",(IF(ISNUMBER(E5),E5*4,0)+IF(ISNUMBER(E11),E11*4,0)+IF(ISNUMBER(E17),E17*4,0)+IF(ISNUMBER(E23),E23*4,0)+IF(ISNUMBER(E29),E29*4,0)+IF(ISNUMBER(E37),E37*4,0)+IF(ISNUMBER(E43),E43*4,0)+IF(ISNUMBER(E49),E49*4,0)+IF(ISNUMBER(E55),E55*4,0)+IF(ISNUMBER(E61),E61*4,0)+IF(ISNUMBER(E69),E69*4,0)+IF(ISNUMBER(E75),E75*4,0)+IF(ISNUMBER(E81),E81*4,0)+IF(ISNUMBER(E87),E87*4,0)+IF(ISNUMBER(E93),E93*4,0)+IF(ISNUMBER(E101),E101*4,0)+IF(ISNUMBER(E107),E107*4,0)+IF(ISNUMBER(E113),E113*4,0)+IF(ISNUMBER(E119),E119*4,0)+IF(ISNUMBER(E125),E125*4,0)+IF(ISNUMBER(E133),E133*4,0)+IF(ISNUMBER(E139),E139*4,0)+IF(ISNUMBER(E145),E145*4,0)+IF(ISNUMBER(E151),E151*4,0)+IF(ISNUMBER(E157),E157*4,0))/(IF(ISNUMBER(E5),4,0)+IF(ISNUMBER(E11),4,0)+IF(ISNUMBER(E17),4,0)+IF(ISNUMBER(E23),4,0)+IF(ISNUMBER(E29),4,0)+IF(ISNUMBER(E37),4,0)+IF(ISNUMBER(E43),4,0)+IF(ISNUMBER(E49),4,0)+IF(ISNUMBER(E55),4,0)+IF(ISNUMBER(E61),4,0)+IF(ISNUMBER(E69),4,0)+IF(ISNUMBER(E75),4,0)+IF(ISNUMBER(E81),4,0)+IF(ISNUMBER(E87),4,0)+IF(ISNUMBER(E93),4,0)+IF(ISNUMBER(E101),4,0)+IF(ISNUMBER(E107),4,0)+IF(ISNUMBER(E113),4,0)+IF(ISNUMBER(E119),4,0)+IF(ISNUMBER(E125),4,0)+IF(ISNUMBER(E133),4,0)+IF(ISNUMBER(E139),4,0)+IF(ISNUMBER(E145),4,0)+IF(ISNUMBER(E151),4,0)+IF(ISNUMBER(E157),4,0)))</f>
        <v/>
      </c>
      <c r="F164" s="41" t="str">
        <f>IF((IF(ISNUMBER(F5),4,0)+IF(ISNUMBER(F11),4,0)+IF(ISNUMBER(F17),4,0)+IF(ISNUMBER(F23),4,0)+IF(ISNUMBER(F29),4,0)+IF(ISNUMBER(F37),4,0)+IF(ISNUMBER(F43),4,0)+IF(ISNUMBER(F49),4,0)+IF(ISNUMBER(F55),4,0)+IF(ISNUMBER(F61),4,0)+IF(ISNUMBER(F69),4,0)+IF(ISNUMBER(F75),4,0)+IF(ISNUMBER(F81),4,0)+IF(ISNUMBER(F87),4,0)+IF(ISNUMBER(F93),4,0)+IF(ISNUMBER(F101),4,0)+IF(ISNUMBER(F107),4,0)+IF(ISNUMBER(F113),4,0)+IF(ISNUMBER(F119),4,0)+IF(ISNUMBER(F125),4,0)+IF(ISNUMBER(F133),4,0)+IF(ISNUMBER(F139),4,0)+IF(ISNUMBER(F145),4,0)+IF(ISNUMBER(F151),4,0)+IF(ISNUMBER(F157),4,0))=0,"",(IF(ISNUMBER(F5),F5*4,0)+IF(ISNUMBER(F11),F11*4,0)+IF(ISNUMBER(F17),F17*4,0)+IF(ISNUMBER(F23),F23*4,0)+IF(ISNUMBER(F29),F29*4,0)+IF(ISNUMBER(F37),F37*4,0)+IF(ISNUMBER(F43),F43*4,0)+IF(ISNUMBER(F49),F49*4,0)+IF(ISNUMBER(F55),F55*4,0)+IF(ISNUMBER(F61),F61*4,0)+IF(ISNUMBER(F69),F69*4,0)+IF(ISNUMBER(F75),F75*4,0)+IF(ISNUMBER(F81),F81*4,0)+IF(ISNUMBER(F87),F87*4,0)+IF(ISNUMBER(F93),F93*4,0)+IF(ISNUMBER(F101),F101*4,0)+IF(ISNUMBER(F107),F107*4,0)+IF(ISNUMBER(F113),F113*4,0)+IF(ISNUMBER(F119),F119*4,0)+IF(ISNUMBER(F125),F125*4,0)+IF(ISNUMBER(F133),F133*4,0)+IF(ISNUMBER(F139),F139*4,0)+IF(ISNUMBER(F145),F145*4,0)+IF(ISNUMBER(F151),F151*4,0)+IF(ISNUMBER(F157),F157*4,0))/(IF(ISNUMBER(F5),4,0)+IF(ISNUMBER(F11),4,0)+IF(ISNUMBER(F17),4,0)+IF(ISNUMBER(F23),4,0)+IF(ISNUMBER(F29),4,0)+IF(ISNUMBER(F37),4,0)+IF(ISNUMBER(F43),4,0)+IF(ISNUMBER(F49),4,0)+IF(ISNUMBER(F55),4,0)+IF(ISNUMBER(F61),4,0)+IF(ISNUMBER(F69),4,0)+IF(ISNUMBER(F75),4,0)+IF(ISNUMBER(F81),4,0)+IF(ISNUMBER(F87),4,0)+IF(ISNUMBER(F93),4,0)+IF(ISNUMBER(F101),4,0)+IF(ISNUMBER(F107),4,0)+IF(ISNUMBER(F113),4,0)+IF(ISNUMBER(F119),4,0)+IF(ISNUMBER(F125),4,0)+IF(ISNUMBER(F133),4,0)+IF(ISNUMBER(F139),4,0)+IF(ISNUMBER(F145),4,0)+IF(ISNUMBER(F151),4,0)+IF(ISNUMBER(F157),4,0)))</f>
        <v/>
      </c>
      <c r="G164" s="41" t="str">
        <f>IF((IF(ISNUMBER(G5),4,0)+IF(ISNUMBER(G11),4,0)+IF(ISNUMBER(G17),4,0)+IF(ISNUMBER(G23),4,0)+IF(ISNUMBER(G29),4,0)+IF(ISNUMBER(G37),4,0)+IF(ISNUMBER(G43),4,0)+IF(ISNUMBER(G49),4,0)+IF(ISNUMBER(G55),4,0)+IF(ISNUMBER(G61),4,0)+IF(ISNUMBER(G69),4,0)+IF(ISNUMBER(G75),4,0)+IF(ISNUMBER(G81),4,0)+IF(ISNUMBER(G87),4,0)+IF(ISNUMBER(G93),4,0)+IF(ISNUMBER(G101),4,0)+IF(ISNUMBER(G107),4,0)+IF(ISNUMBER(G113),4,0)+IF(ISNUMBER(G119),4,0)+IF(ISNUMBER(G125),4,0)+IF(ISNUMBER(G133),4,0)+IF(ISNUMBER(G139),4,0)+IF(ISNUMBER(G145),4,0)+IF(ISNUMBER(G151),4,0)+IF(ISNUMBER(G157),4,0))=0,"",(IF(ISNUMBER(G5),G5*4,0)+IF(ISNUMBER(G11),G11*4,0)+IF(ISNUMBER(G17),G17*4,0)+IF(ISNUMBER(G23),G23*4,0)+IF(ISNUMBER(G29),G29*4,0)+IF(ISNUMBER(G37),G37*4,0)+IF(ISNUMBER(G43),G43*4,0)+IF(ISNUMBER(G49),G49*4,0)+IF(ISNUMBER(G55),G55*4,0)+IF(ISNUMBER(G61),G61*4,0)+IF(ISNUMBER(G69),G69*4,0)+IF(ISNUMBER(G75),G75*4,0)+IF(ISNUMBER(G81),G81*4,0)+IF(ISNUMBER(G87),G87*4,0)+IF(ISNUMBER(G93),G93*4,0)+IF(ISNUMBER(G101),G101*4,0)+IF(ISNUMBER(G107),G107*4,0)+IF(ISNUMBER(G113),G113*4,0)+IF(ISNUMBER(G119),G119*4,0)+IF(ISNUMBER(G125),G125*4,0)+IF(ISNUMBER(G133),G133*4,0)+IF(ISNUMBER(G139),G139*4,0)+IF(ISNUMBER(G145),G145*4,0)+IF(ISNUMBER(G151),G151*4,0)+IF(ISNUMBER(G157),G157*4,0))/(IF(ISNUMBER(G5),4,0)+IF(ISNUMBER(G11),4,0)+IF(ISNUMBER(G17),4,0)+IF(ISNUMBER(G23),4,0)+IF(ISNUMBER(G29),4,0)+IF(ISNUMBER(G37),4,0)+IF(ISNUMBER(G43),4,0)+IF(ISNUMBER(G49),4,0)+IF(ISNUMBER(G55),4,0)+IF(ISNUMBER(G61),4,0)+IF(ISNUMBER(G69),4,0)+IF(ISNUMBER(G75),4,0)+IF(ISNUMBER(G81),4,0)+IF(ISNUMBER(G87),4,0)+IF(ISNUMBER(G93),4,0)+IF(ISNUMBER(G101),4,0)+IF(ISNUMBER(G107),4,0)+IF(ISNUMBER(G113),4,0)+IF(ISNUMBER(G119),4,0)+IF(ISNUMBER(G125),4,0)+IF(ISNUMBER(G133),4,0)+IF(ISNUMBER(G139),4,0)+IF(ISNUMBER(G145),4,0)+IF(ISNUMBER(G151),4,0)+IF(ISNUMBER(G157),4,0)))</f>
        <v/>
      </c>
      <c r="H164" s="41" t="str">
        <f>IF((IF(ISNUMBER(H5),4,0)+IF(ISNUMBER(H11),4,0)+IF(ISNUMBER(H17),4,0)+IF(ISNUMBER(H23),4,0)+IF(ISNUMBER(H29),4,0)+IF(ISNUMBER(H37),4,0)+IF(ISNUMBER(H43),4,0)+IF(ISNUMBER(H49),4,0)+IF(ISNUMBER(H55),4,0)+IF(ISNUMBER(H61),4,0)+IF(ISNUMBER(H69),4,0)+IF(ISNUMBER(H75),4,0)+IF(ISNUMBER(H81),4,0)+IF(ISNUMBER(H87),4,0)+IF(ISNUMBER(H93),4,0)+IF(ISNUMBER(H101),4,0)+IF(ISNUMBER(H107),4,0)+IF(ISNUMBER(H113),4,0)+IF(ISNUMBER(H119),4,0)+IF(ISNUMBER(H125),4,0)+IF(ISNUMBER(H133),4,0)+IF(ISNUMBER(H139),4,0)+IF(ISNUMBER(H145),4,0)+IF(ISNUMBER(H151),4,0)+IF(ISNUMBER(H157),4,0))=0,"",(IF(ISNUMBER(H5),H5*4,0)+IF(ISNUMBER(H11),H11*4,0)+IF(ISNUMBER(H17),H17*4,0)+IF(ISNUMBER(H23),H23*4,0)+IF(ISNUMBER(H29),H29*4,0)+IF(ISNUMBER(H37),H37*4,0)+IF(ISNUMBER(H43),H43*4,0)+IF(ISNUMBER(H49),H49*4,0)+IF(ISNUMBER(H55),H55*4,0)+IF(ISNUMBER(H61),H61*4,0)+IF(ISNUMBER(H69),H69*4,0)+IF(ISNUMBER(H75),H75*4,0)+IF(ISNUMBER(H81),H81*4,0)+IF(ISNUMBER(H87),H87*4,0)+IF(ISNUMBER(H93),H93*4,0)+IF(ISNUMBER(H101),H101*4,0)+IF(ISNUMBER(H107),H107*4,0)+IF(ISNUMBER(H113),H113*4,0)+IF(ISNUMBER(H119),H119*4,0)+IF(ISNUMBER(H125),H125*4,0)+IF(ISNUMBER(H133),H133*4,0)+IF(ISNUMBER(H139),H139*4,0)+IF(ISNUMBER(H145),H145*4,0)+IF(ISNUMBER(H151),H151*4,0)+IF(ISNUMBER(H157),H157*4,0))/(IF(ISNUMBER(H5),4,0)+IF(ISNUMBER(H11),4,0)+IF(ISNUMBER(H17),4,0)+IF(ISNUMBER(H23),4,0)+IF(ISNUMBER(H29),4,0)+IF(ISNUMBER(H37),4,0)+IF(ISNUMBER(H43),4,0)+IF(ISNUMBER(H49),4,0)+IF(ISNUMBER(H55),4,0)+IF(ISNUMBER(H61),4,0)+IF(ISNUMBER(H69),4,0)+IF(ISNUMBER(H75),4,0)+IF(ISNUMBER(H81),4,0)+IF(ISNUMBER(H87),4,0)+IF(ISNUMBER(H93),4,0)+IF(ISNUMBER(H101),4,0)+IF(ISNUMBER(H107),4,0)+IF(ISNUMBER(H113),4,0)+IF(ISNUMBER(H119),4,0)+IF(ISNUMBER(H125),4,0)+IF(ISNUMBER(H133),4,0)+IF(ISNUMBER(H139),4,0)+IF(ISNUMBER(H145),4,0)+IF(ISNUMBER(H151),4,0)+IF(ISNUMBER(H157),4,0)))</f>
        <v/>
      </c>
      <c r="I164" s="41" t="str">
        <f>IF((IF(ISNUMBER(I5),4,0)+IF(ISNUMBER(I11),4,0)+IF(ISNUMBER(I17),4,0)+IF(ISNUMBER(I23),4,0)+IF(ISNUMBER(I29),4,0)+IF(ISNUMBER(I37),4,0)+IF(ISNUMBER(I43),4,0)+IF(ISNUMBER(I49),4,0)+IF(ISNUMBER(I55),4,0)+IF(ISNUMBER(I61),4,0)+IF(ISNUMBER(I69),4,0)+IF(ISNUMBER(I75),4,0)+IF(ISNUMBER(I81),4,0)+IF(ISNUMBER(I87),4,0)+IF(ISNUMBER(I93),4,0)+IF(ISNUMBER(I101),4,0)+IF(ISNUMBER(I107),4,0)+IF(ISNUMBER(I113),4,0)+IF(ISNUMBER(I119),4,0)+IF(ISNUMBER(I125),4,0)+IF(ISNUMBER(I133),4,0)+IF(ISNUMBER(I139),4,0)+IF(ISNUMBER(I145),4,0)+IF(ISNUMBER(I151),4,0)+IF(ISNUMBER(I157),4,0))=0,"",(IF(ISNUMBER(I5),I5*4,0)+IF(ISNUMBER(I11),I11*4,0)+IF(ISNUMBER(I17),I17*4,0)+IF(ISNUMBER(I23),I23*4,0)+IF(ISNUMBER(I29),I29*4,0)+IF(ISNUMBER(I37),I37*4,0)+IF(ISNUMBER(I43),I43*4,0)+IF(ISNUMBER(I49),I49*4,0)+IF(ISNUMBER(I55),I55*4,0)+IF(ISNUMBER(I61),I61*4,0)+IF(ISNUMBER(I69),I69*4,0)+IF(ISNUMBER(I75),I75*4,0)+IF(ISNUMBER(I81),I81*4,0)+IF(ISNUMBER(I87),I87*4,0)+IF(ISNUMBER(I93),I93*4,0)+IF(ISNUMBER(I101),I101*4,0)+IF(ISNUMBER(I107),I107*4,0)+IF(ISNUMBER(I113),I113*4,0)+IF(ISNUMBER(I119),I119*4,0)+IF(ISNUMBER(I125),I125*4,0)+IF(ISNUMBER(I133),I133*4,0)+IF(ISNUMBER(I139),I139*4,0)+IF(ISNUMBER(I145),I145*4,0)+IF(ISNUMBER(I151),I151*4,0)+IF(ISNUMBER(I157),I157*4,0))/(IF(ISNUMBER(I5),4,0)+IF(ISNUMBER(I11),4,0)+IF(ISNUMBER(I17),4,0)+IF(ISNUMBER(I23),4,0)+IF(ISNUMBER(I29),4,0)+IF(ISNUMBER(I37),4,0)+IF(ISNUMBER(I43),4,0)+IF(ISNUMBER(I49),4,0)+IF(ISNUMBER(I55),4,0)+IF(ISNUMBER(I61),4,0)+IF(ISNUMBER(I69),4,0)+IF(ISNUMBER(I75),4,0)+IF(ISNUMBER(I81),4,0)+IF(ISNUMBER(I87),4,0)+IF(ISNUMBER(I93),4,0)+IF(ISNUMBER(I101),4,0)+IF(ISNUMBER(I107),4,0)+IF(ISNUMBER(I113),4,0)+IF(ISNUMBER(I119),4,0)+IF(ISNUMBER(I125),4,0)+IF(ISNUMBER(I133),4,0)+IF(ISNUMBER(I139),4,0)+IF(ISNUMBER(I145),4,0)+IF(ISNUMBER(I151),4,0)+IF(ISNUMBER(I157),4,0)))</f>
        <v/>
      </c>
      <c r="J164" s="41" t="str">
        <f>IF((IF(ISNUMBER(J5),4,0)+IF(ISNUMBER(J11),4,0)+IF(ISNUMBER(J17),4,0)+IF(ISNUMBER(J23),4,0)+IF(ISNUMBER(J29),4,0)+IF(ISNUMBER(J37),4,0)+IF(ISNUMBER(J43),4,0)+IF(ISNUMBER(J49),4,0)+IF(ISNUMBER(J55),4,0)+IF(ISNUMBER(J61),4,0)+IF(ISNUMBER(J69),4,0)+IF(ISNUMBER(J75),4,0)+IF(ISNUMBER(J81),4,0)+IF(ISNUMBER(J87),4,0)+IF(ISNUMBER(J93),4,0)+IF(ISNUMBER(J101),4,0)+IF(ISNUMBER(J107),4,0)+IF(ISNUMBER(J113),4,0)+IF(ISNUMBER(J119),4,0)+IF(ISNUMBER(J125),4,0)+IF(ISNUMBER(J133),4,0)+IF(ISNUMBER(J139),4,0)+IF(ISNUMBER(J145),4,0)+IF(ISNUMBER(J151),4,0)+IF(ISNUMBER(J157),4,0))=0,"",(IF(ISNUMBER(J5),J5*4,0)+IF(ISNUMBER(J11),J11*4,0)+IF(ISNUMBER(J17),J17*4,0)+IF(ISNUMBER(J23),J23*4,0)+IF(ISNUMBER(J29),J29*4,0)+IF(ISNUMBER(J37),J37*4,0)+IF(ISNUMBER(J43),J43*4,0)+IF(ISNUMBER(J49),J49*4,0)+IF(ISNUMBER(J55),J55*4,0)+IF(ISNUMBER(J61),J61*4,0)+IF(ISNUMBER(J69),J69*4,0)+IF(ISNUMBER(J75),J75*4,0)+IF(ISNUMBER(J81),J81*4,0)+IF(ISNUMBER(J87),J87*4,0)+IF(ISNUMBER(J93),J93*4,0)+IF(ISNUMBER(J101),J101*4,0)+IF(ISNUMBER(J107),J107*4,0)+IF(ISNUMBER(J113),J113*4,0)+IF(ISNUMBER(J119),J119*4,0)+IF(ISNUMBER(J125),J125*4,0)+IF(ISNUMBER(J133),J133*4,0)+IF(ISNUMBER(J139),J139*4,0)+IF(ISNUMBER(J145),J145*4,0)+IF(ISNUMBER(J151),J151*4,0)+IF(ISNUMBER(J157),J157*4,0))/(IF(ISNUMBER(J5),4,0)+IF(ISNUMBER(J11),4,0)+IF(ISNUMBER(J17),4,0)+IF(ISNUMBER(J23),4,0)+IF(ISNUMBER(J29),4,0)+IF(ISNUMBER(J37),4,0)+IF(ISNUMBER(J43),4,0)+IF(ISNUMBER(J49),4,0)+IF(ISNUMBER(J55),4,0)+IF(ISNUMBER(J61),4,0)+IF(ISNUMBER(J69),4,0)+IF(ISNUMBER(J75),4,0)+IF(ISNUMBER(J81),4,0)+IF(ISNUMBER(J87),4,0)+IF(ISNUMBER(J93),4,0)+IF(ISNUMBER(J101),4,0)+IF(ISNUMBER(J107),4,0)+IF(ISNUMBER(J113),4,0)+IF(ISNUMBER(J119),4,0)+IF(ISNUMBER(J125),4,0)+IF(ISNUMBER(J133),4,0)+IF(ISNUMBER(J139),4,0)+IF(ISNUMBER(J145),4,0)+IF(ISNUMBER(J151),4,0)+IF(ISNUMBER(J157),4,0)))</f>
        <v/>
      </c>
      <c r="K164" s="41" t="str">
        <f>IF((IF(ISNUMBER(K5),4,0)+IF(ISNUMBER(K11),4,0)+IF(ISNUMBER(K17),4,0)+IF(ISNUMBER(K23),4,0)+IF(ISNUMBER(K29),4,0)+IF(ISNUMBER(K37),4,0)+IF(ISNUMBER(K43),4,0)+IF(ISNUMBER(K49),4,0)+IF(ISNUMBER(K55),4,0)+IF(ISNUMBER(K61),4,0)+IF(ISNUMBER(K69),4,0)+IF(ISNUMBER(K75),4,0)+IF(ISNUMBER(K81),4,0)+IF(ISNUMBER(K87),4,0)+IF(ISNUMBER(K93),4,0)+IF(ISNUMBER(K101),4,0)+IF(ISNUMBER(K107),4,0)+IF(ISNUMBER(K113),4,0)+IF(ISNUMBER(K119),4,0)+IF(ISNUMBER(K125),4,0)+IF(ISNUMBER(K133),4,0)+IF(ISNUMBER(K139),4,0)+IF(ISNUMBER(K145),4,0)+IF(ISNUMBER(K151),4,0)+IF(ISNUMBER(K157),4,0))=0,"",(IF(ISNUMBER(K5),K5*4,0)+IF(ISNUMBER(K11),K11*4,0)+IF(ISNUMBER(K17),K17*4,0)+IF(ISNUMBER(K23),K23*4,0)+IF(ISNUMBER(K29),K29*4,0)+IF(ISNUMBER(K37),K37*4,0)+IF(ISNUMBER(K43),K43*4,0)+IF(ISNUMBER(K49),K49*4,0)+IF(ISNUMBER(K55),K55*4,0)+IF(ISNUMBER(K61),K61*4,0)+IF(ISNUMBER(K69),K69*4,0)+IF(ISNUMBER(K75),K75*4,0)+IF(ISNUMBER(K81),K81*4,0)+IF(ISNUMBER(K87),K87*4,0)+IF(ISNUMBER(K93),K93*4,0)+IF(ISNUMBER(K101),K101*4,0)+IF(ISNUMBER(K107),K107*4,0)+IF(ISNUMBER(K113),K113*4,0)+IF(ISNUMBER(K119),K119*4,0)+IF(ISNUMBER(K125),K125*4,0)+IF(ISNUMBER(K133),K133*4,0)+IF(ISNUMBER(K139),K139*4,0)+IF(ISNUMBER(K145),K145*4,0)+IF(ISNUMBER(K151),K151*4,0)+IF(ISNUMBER(K157),K157*4,0))/(IF(ISNUMBER(K5),4,0)+IF(ISNUMBER(K11),4,0)+IF(ISNUMBER(K17),4,0)+IF(ISNUMBER(K23),4,0)+IF(ISNUMBER(K29),4,0)+IF(ISNUMBER(K37),4,0)+IF(ISNUMBER(K43),4,0)+IF(ISNUMBER(K49),4,0)+IF(ISNUMBER(K55),4,0)+IF(ISNUMBER(K61),4,0)+IF(ISNUMBER(K69),4,0)+IF(ISNUMBER(K75),4,0)+IF(ISNUMBER(K81),4,0)+IF(ISNUMBER(K87),4,0)+IF(ISNUMBER(K93),4,0)+IF(ISNUMBER(K101),4,0)+IF(ISNUMBER(K107),4,0)+IF(ISNUMBER(K113),4,0)+IF(ISNUMBER(K119),4,0)+IF(ISNUMBER(K125),4,0)+IF(ISNUMBER(K133),4,0)+IF(ISNUMBER(K139),4,0)+IF(ISNUMBER(K145),4,0)+IF(ISNUMBER(K151),4,0)+IF(ISNUMBER(K157),4,0)))</f>
        <v/>
      </c>
      <c r="L164" s="41" t="str">
        <f>IF((IF(ISNUMBER(L5),4,0)+IF(ISNUMBER(L11),4,0)+IF(ISNUMBER(L17),4,0)+IF(ISNUMBER(L23),4,0)+IF(ISNUMBER(L29),4,0)+IF(ISNUMBER(L37),4,0)+IF(ISNUMBER(L43),4,0)+IF(ISNUMBER(L49),4,0)+IF(ISNUMBER(L55),4,0)+IF(ISNUMBER(L61),4,0)+IF(ISNUMBER(L69),4,0)+IF(ISNUMBER(L75),4,0)+IF(ISNUMBER(L81),4,0)+IF(ISNUMBER(L87),4,0)+IF(ISNUMBER(L93),4,0)+IF(ISNUMBER(L101),4,0)+IF(ISNUMBER(L107),4,0)+IF(ISNUMBER(L113),4,0)+IF(ISNUMBER(L119),4,0)+IF(ISNUMBER(L125),4,0)+IF(ISNUMBER(L133),4,0)+IF(ISNUMBER(L139),4,0)+IF(ISNUMBER(L145),4,0)+IF(ISNUMBER(L151),4,0)+IF(ISNUMBER(L157),4,0))=0,"",(IF(ISNUMBER(L5),L5*4,0)+IF(ISNUMBER(L11),L11*4,0)+IF(ISNUMBER(L17),L17*4,0)+IF(ISNUMBER(L23),L23*4,0)+IF(ISNUMBER(L29),L29*4,0)+IF(ISNUMBER(L37),L37*4,0)+IF(ISNUMBER(L43),L43*4,0)+IF(ISNUMBER(L49),L49*4,0)+IF(ISNUMBER(L55),L55*4,0)+IF(ISNUMBER(L61),L61*4,0)+IF(ISNUMBER(L69),L69*4,0)+IF(ISNUMBER(L75),L75*4,0)+IF(ISNUMBER(L81),L81*4,0)+IF(ISNUMBER(L87),L87*4,0)+IF(ISNUMBER(L93),L93*4,0)+IF(ISNUMBER(L101),L101*4,0)+IF(ISNUMBER(L107),L107*4,0)+IF(ISNUMBER(L113),L113*4,0)+IF(ISNUMBER(L119),L119*4,0)+IF(ISNUMBER(L125),L125*4,0)+IF(ISNUMBER(L133),L133*4,0)+IF(ISNUMBER(L139),L139*4,0)+IF(ISNUMBER(L145),L145*4,0)+IF(ISNUMBER(L151),L151*4,0)+IF(ISNUMBER(L157),L157*4,0))/(IF(ISNUMBER(L5),4,0)+IF(ISNUMBER(L11),4,0)+IF(ISNUMBER(L17),4,0)+IF(ISNUMBER(L23),4,0)+IF(ISNUMBER(L29),4,0)+IF(ISNUMBER(L37),4,0)+IF(ISNUMBER(L43),4,0)+IF(ISNUMBER(L49),4,0)+IF(ISNUMBER(L55),4,0)+IF(ISNUMBER(L61),4,0)+IF(ISNUMBER(L69),4,0)+IF(ISNUMBER(L75),4,0)+IF(ISNUMBER(L81),4,0)+IF(ISNUMBER(L87),4,0)+IF(ISNUMBER(L93),4,0)+IF(ISNUMBER(L101),4,0)+IF(ISNUMBER(L107),4,0)+IF(ISNUMBER(L113),4,0)+IF(ISNUMBER(L119),4,0)+IF(ISNUMBER(L125),4,0)+IF(ISNUMBER(L133),4,0)+IF(ISNUMBER(L139),4,0)+IF(ISNUMBER(L145),4,0)+IF(ISNUMBER(L151),4,0)+IF(ISNUMBER(L157),4,0)))</f>
        <v/>
      </c>
      <c r="M164" s="41" t="str">
        <f>IF((IF(ISNUMBER(M5),4,0)+IF(ISNUMBER(M11),4,0)+IF(ISNUMBER(M17),4,0)+IF(ISNUMBER(M23),4,0)+IF(ISNUMBER(M29),4,0)+IF(ISNUMBER(M37),4,0)+IF(ISNUMBER(M43),4,0)+IF(ISNUMBER(M49),4,0)+IF(ISNUMBER(M55),4,0)+IF(ISNUMBER(M61),4,0)+IF(ISNUMBER(M69),4,0)+IF(ISNUMBER(M75),4,0)+IF(ISNUMBER(M81),4,0)+IF(ISNUMBER(M87),4,0)+IF(ISNUMBER(M93),4,0)+IF(ISNUMBER(M101),4,0)+IF(ISNUMBER(M107),4,0)+IF(ISNUMBER(M113),4,0)+IF(ISNUMBER(M119),4,0)+IF(ISNUMBER(M125),4,0)+IF(ISNUMBER(M133),4,0)+IF(ISNUMBER(M139),4,0)+IF(ISNUMBER(M145),4,0)+IF(ISNUMBER(M151),4,0)+IF(ISNUMBER(M157),4,0))=0,"",(IF(ISNUMBER(M5),M5*4,0)+IF(ISNUMBER(M11),M11*4,0)+IF(ISNUMBER(M17),M17*4,0)+IF(ISNUMBER(M23),M23*4,0)+IF(ISNUMBER(M29),M29*4,0)+IF(ISNUMBER(M37),M37*4,0)+IF(ISNUMBER(M43),M43*4,0)+IF(ISNUMBER(M49),M49*4,0)+IF(ISNUMBER(M55),M55*4,0)+IF(ISNUMBER(M61),M61*4,0)+IF(ISNUMBER(M69),M69*4,0)+IF(ISNUMBER(M75),M75*4,0)+IF(ISNUMBER(M81),M81*4,0)+IF(ISNUMBER(M87),M87*4,0)+IF(ISNUMBER(M93),M93*4,0)+IF(ISNUMBER(M101),M101*4,0)+IF(ISNUMBER(M107),M107*4,0)+IF(ISNUMBER(M113),M113*4,0)+IF(ISNUMBER(M119),M119*4,0)+IF(ISNUMBER(M125),M125*4,0)+IF(ISNUMBER(M133),M133*4,0)+IF(ISNUMBER(M139),M139*4,0)+IF(ISNUMBER(M145),M145*4,0)+IF(ISNUMBER(M151),M151*4,0)+IF(ISNUMBER(M157),M157*4,0))/(IF(ISNUMBER(M5),4,0)+IF(ISNUMBER(M11),4,0)+IF(ISNUMBER(M17),4,0)+IF(ISNUMBER(M23),4,0)+IF(ISNUMBER(M29),4,0)+IF(ISNUMBER(M37),4,0)+IF(ISNUMBER(M43),4,0)+IF(ISNUMBER(M49),4,0)+IF(ISNUMBER(M55),4,0)+IF(ISNUMBER(M61),4,0)+IF(ISNUMBER(M69),4,0)+IF(ISNUMBER(M75),4,0)+IF(ISNUMBER(M81),4,0)+IF(ISNUMBER(M87),4,0)+IF(ISNUMBER(M93),4,0)+IF(ISNUMBER(M101),4,0)+IF(ISNUMBER(M107),4,0)+IF(ISNUMBER(M113),4,0)+IF(ISNUMBER(M119),4,0)+IF(ISNUMBER(M125),4,0)+IF(ISNUMBER(M133),4,0)+IF(ISNUMBER(M139),4,0)+IF(ISNUMBER(M145),4,0)+IF(ISNUMBER(M151),4,0)+IF(ISNUMBER(M157),4,0)))</f>
        <v/>
      </c>
      <c r="N164" s="41" t="str">
        <f>IF((IF(ISNUMBER(N5),4,0)+IF(ISNUMBER(N11),4,0)+IF(ISNUMBER(N17),4,0)+IF(ISNUMBER(N23),4,0)+IF(ISNUMBER(N29),4,0)+IF(ISNUMBER(N37),4,0)+IF(ISNUMBER(N43),4,0)+IF(ISNUMBER(N49),4,0)+IF(ISNUMBER(N55),4,0)+IF(ISNUMBER(N61),4,0)+IF(ISNUMBER(N69),4,0)+IF(ISNUMBER(N75),4,0)+IF(ISNUMBER(N81),4,0)+IF(ISNUMBER(N87),4,0)+IF(ISNUMBER(N93),4,0)+IF(ISNUMBER(N101),4,0)+IF(ISNUMBER(N107),4,0)+IF(ISNUMBER(N113),4,0)+IF(ISNUMBER(N119),4,0)+IF(ISNUMBER(N125),4,0)+IF(ISNUMBER(N133),4,0)+IF(ISNUMBER(N139),4,0)+IF(ISNUMBER(N145),4,0)+IF(ISNUMBER(N151),4,0)+IF(ISNUMBER(N157),4,0))=0,"",(IF(ISNUMBER(N5),N5*4,0)+IF(ISNUMBER(N11),N11*4,0)+IF(ISNUMBER(N17),N17*4,0)+IF(ISNUMBER(N23),N23*4,0)+IF(ISNUMBER(N29),N29*4,0)+IF(ISNUMBER(N37),N37*4,0)+IF(ISNUMBER(N43),N43*4,0)+IF(ISNUMBER(N49),N49*4,0)+IF(ISNUMBER(N55),N55*4,0)+IF(ISNUMBER(N61),N61*4,0)+IF(ISNUMBER(N69),N69*4,0)+IF(ISNUMBER(N75),N75*4,0)+IF(ISNUMBER(N81),N81*4,0)+IF(ISNUMBER(N87),N87*4,0)+IF(ISNUMBER(N93),N93*4,0)+IF(ISNUMBER(N101),N101*4,0)+IF(ISNUMBER(N107),N107*4,0)+IF(ISNUMBER(N113),N113*4,0)+IF(ISNUMBER(N119),N119*4,0)+IF(ISNUMBER(N125),N125*4,0)+IF(ISNUMBER(N133),N133*4,0)+IF(ISNUMBER(N139),N139*4,0)+IF(ISNUMBER(N145),N145*4,0)+IF(ISNUMBER(N151),N151*4,0)+IF(ISNUMBER(N157),N157*4,0))/(IF(ISNUMBER(N5),4,0)+IF(ISNUMBER(N11),4,0)+IF(ISNUMBER(N17),4,0)+IF(ISNUMBER(N23),4,0)+IF(ISNUMBER(N29),4,0)+IF(ISNUMBER(N37),4,0)+IF(ISNUMBER(N43),4,0)+IF(ISNUMBER(N49),4,0)+IF(ISNUMBER(N55),4,0)+IF(ISNUMBER(N61),4,0)+IF(ISNUMBER(N69),4,0)+IF(ISNUMBER(N75),4,0)+IF(ISNUMBER(N81),4,0)+IF(ISNUMBER(N87),4,0)+IF(ISNUMBER(N93),4,0)+IF(ISNUMBER(N101),4,0)+IF(ISNUMBER(N107),4,0)+IF(ISNUMBER(N113),4,0)+IF(ISNUMBER(N119),4,0)+IF(ISNUMBER(N125),4,0)+IF(ISNUMBER(N133),4,0)+IF(ISNUMBER(N139),4,0)+IF(ISNUMBER(N145),4,0)+IF(ISNUMBER(N151),4,0)+IF(ISNUMBER(N157),4,0)))</f>
        <v/>
      </c>
      <c r="O164" s="41" t="str">
        <f>IF((IF(ISNUMBER(O5),4,0)+IF(ISNUMBER(O11),4,0)+IF(ISNUMBER(O17),4,0)+IF(ISNUMBER(O23),4,0)+IF(ISNUMBER(O29),4,0)+IF(ISNUMBER(O37),4,0)+IF(ISNUMBER(O43),4,0)+IF(ISNUMBER(O49),4,0)+IF(ISNUMBER(O55),4,0)+IF(ISNUMBER(O61),4,0)+IF(ISNUMBER(O69),4,0)+IF(ISNUMBER(O75),4,0)+IF(ISNUMBER(O81),4,0)+IF(ISNUMBER(O87),4,0)+IF(ISNUMBER(O93),4,0)+IF(ISNUMBER(O101),4,0)+IF(ISNUMBER(O107),4,0)+IF(ISNUMBER(O113),4,0)+IF(ISNUMBER(O119),4,0)+IF(ISNUMBER(O125),4,0)+IF(ISNUMBER(O133),4,0)+IF(ISNUMBER(O139),4,0)+IF(ISNUMBER(O145),4,0)+IF(ISNUMBER(O151),4,0)+IF(ISNUMBER(O157),4,0))=0,"",(IF(ISNUMBER(O5),O5*4,0)+IF(ISNUMBER(O11),O11*4,0)+IF(ISNUMBER(O17),O17*4,0)+IF(ISNUMBER(O23),O23*4,0)+IF(ISNUMBER(O29),O29*4,0)+IF(ISNUMBER(O37),O37*4,0)+IF(ISNUMBER(O43),O43*4,0)+IF(ISNUMBER(O49),O49*4,0)+IF(ISNUMBER(O55),O55*4,0)+IF(ISNUMBER(O61),O61*4,0)+IF(ISNUMBER(O69),O69*4,0)+IF(ISNUMBER(O75),O75*4,0)+IF(ISNUMBER(O81),O81*4,0)+IF(ISNUMBER(O87),O87*4,0)+IF(ISNUMBER(O93),O93*4,0)+IF(ISNUMBER(O101),O101*4,0)+IF(ISNUMBER(O107),O107*4,0)+IF(ISNUMBER(O113),O113*4,0)+IF(ISNUMBER(O119),O119*4,0)+IF(ISNUMBER(O125),O125*4,0)+IF(ISNUMBER(O133),O133*4,0)+IF(ISNUMBER(O139),O139*4,0)+IF(ISNUMBER(O145),O145*4,0)+IF(ISNUMBER(O151),O151*4,0)+IF(ISNUMBER(O157),O157*4,0))/(IF(ISNUMBER(O5),4,0)+IF(ISNUMBER(O11),4,0)+IF(ISNUMBER(O17),4,0)+IF(ISNUMBER(O23),4,0)+IF(ISNUMBER(O29),4,0)+IF(ISNUMBER(O37),4,0)+IF(ISNUMBER(O43),4,0)+IF(ISNUMBER(O49),4,0)+IF(ISNUMBER(O55),4,0)+IF(ISNUMBER(O61),4,0)+IF(ISNUMBER(O69),4,0)+IF(ISNUMBER(O75),4,0)+IF(ISNUMBER(O81),4,0)+IF(ISNUMBER(O87),4,0)+IF(ISNUMBER(O93),4,0)+IF(ISNUMBER(O101),4,0)+IF(ISNUMBER(O107),4,0)+IF(ISNUMBER(O113),4,0)+IF(ISNUMBER(O119),4,0)+IF(ISNUMBER(O125),4,0)+IF(ISNUMBER(O133),4,0)+IF(ISNUMBER(O139),4,0)+IF(ISNUMBER(O145),4,0)+IF(ISNUMBER(O151),4,0)+IF(ISNUMBER(O157),4,0)))</f>
        <v/>
      </c>
      <c r="P164" s="41" t="str">
        <f>IF((IF(ISNUMBER(P5),4,0)+IF(ISNUMBER(P11),4,0)+IF(ISNUMBER(P17),4,0)+IF(ISNUMBER(P23),4,0)+IF(ISNUMBER(P29),4,0)+IF(ISNUMBER(P37),4,0)+IF(ISNUMBER(P43),4,0)+IF(ISNUMBER(P49),4,0)+IF(ISNUMBER(P55),4,0)+IF(ISNUMBER(P61),4,0)+IF(ISNUMBER(P69),4,0)+IF(ISNUMBER(P75),4,0)+IF(ISNUMBER(P81),4,0)+IF(ISNUMBER(P87),4,0)+IF(ISNUMBER(P93),4,0)+IF(ISNUMBER(P101),4,0)+IF(ISNUMBER(P107),4,0)+IF(ISNUMBER(P113),4,0)+IF(ISNUMBER(P119),4,0)+IF(ISNUMBER(P125),4,0)+IF(ISNUMBER(P133),4,0)+IF(ISNUMBER(P139),4,0)+IF(ISNUMBER(P145),4,0)+IF(ISNUMBER(P151),4,0)+IF(ISNUMBER(P157),4,0))=0,"",(IF(ISNUMBER(P5),P5*4,0)+IF(ISNUMBER(P11),P11*4,0)+IF(ISNUMBER(P17),P17*4,0)+IF(ISNUMBER(P23),P23*4,0)+IF(ISNUMBER(P29),P29*4,0)+IF(ISNUMBER(P37),P37*4,0)+IF(ISNUMBER(P43),P43*4,0)+IF(ISNUMBER(P49),P49*4,0)+IF(ISNUMBER(P55),P55*4,0)+IF(ISNUMBER(P61),P61*4,0)+IF(ISNUMBER(P69),P69*4,0)+IF(ISNUMBER(P75),P75*4,0)+IF(ISNUMBER(P81),P81*4,0)+IF(ISNUMBER(P87),P87*4,0)+IF(ISNUMBER(P93),P93*4,0)+IF(ISNUMBER(P101),P101*4,0)+IF(ISNUMBER(P107),P107*4,0)+IF(ISNUMBER(P113),P113*4,0)+IF(ISNUMBER(P119),P119*4,0)+IF(ISNUMBER(P125),P125*4,0)+IF(ISNUMBER(P133),P133*4,0)+IF(ISNUMBER(P139),P139*4,0)+IF(ISNUMBER(P145),P145*4,0)+IF(ISNUMBER(P151),P151*4,0)+IF(ISNUMBER(P157),P157*4,0))/(IF(ISNUMBER(P5),4,0)+IF(ISNUMBER(P11),4,0)+IF(ISNUMBER(P17),4,0)+IF(ISNUMBER(P23),4,0)+IF(ISNUMBER(P29),4,0)+IF(ISNUMBER(P37),4,0)+IF(ISNUMBER(P43),4,0)+IF(ISNUMBER(P49),4,0)+IF(ISNUMBER(P55),4,0)+IF(ISNUMBER(P61),4,0)+IF(ISNUMBER(P69),4,0)+IF(ISNUMBER(P75),4,0)+IF(ISNUMBER(P81),4,0)+IF(ISNUMBER(P87),4,0)+IF(ISNUMBER(P93),4,0)+IF(ISNUMBER(P101),4,0)+IF(ISNUMBER(P107),4,0)+IF(ISNUMBER(P113),4,0)+IF(ISNUMBER(P119),4,0)+IF(ISNUMBER(P125),4,0)+IF(ISNUMBER(P133),4,0)+IF(ISNUMBER(P139),4,0)+IF(ISNUMBER(P145),4,0)+IF(ISNUMBER(P151),4,0)+IF(ISNUMBER(P157),4,0)))</f>
        <v/>
      </c>
      <c r="Q164" s="41" t="str">
        <f>IF((IF(ISNUMBER(Q5),4,0)+IF(ISNUMBER(Q11),4,0)+IF(ISNUMBER(Q17),4,0)+IF(ISNUMBER(Q23),4,0)+IF(ISNUMBER(Q29),4,0)+IF(ISNUMBER(Q37),4,0)+IF(ISNUMBER(Q43),4,0)+IF(ISNUMBER(Q49),4,0)+IF(ISNUMBER(Q55),4,0)+IF(ISNUMBER(Q61),4,0)+IF(ISNUMBER(Q69),4,0)+IF(ISNUMBER(Q75),4,0)+IF(ISNUMBER(Q81),4,0)+IF(ISNUMBER(Q87),4,0)+IF(ISNUMBER(Q93),4,0)+IF(ISNUMBER(Q101),4,0)+IF(ISNUMBER(Q107),4,0)+IF(ISNUMBER(Q113),4,0)+IF(ISNUMBER(Q119),4,0)+IF(ISNUMBER(Q125),4,0)+IF(ISNUMBER(Q133),4,0)+IF(ISNUMBER(Q139),4,0)+IF(ISNUMBER(Q145),4,0)+IF(ISNUMBER(Q151),4,0)+IF(ISNUMBER(Q157),4,0))=0,"",(IF(ISNUMBER(Q5),Q5*4,0)+IF(ISNUMBER(Q11),Q11*4,0)+IF(ISNUMBER(Q17),Q17*4,0)+IF(ISNUMBER(Q23),Q23*4,0)+IF(ISNUMBER(Q29),Q29*4,0)+IF(ISNUMBER(Q37),Q37*4,0)+IF(ISNUMBER(Q43),Q43*4,0)+IF(ISNUMBER(Q49),Q49*4,0)+IF(ISNUMBER(Q55),Q55*4,0)+IF(ISNUMBER(Q61),Q61*4,0)+IF(ISNUMBER(Q69),Q69*4,0)+IF(ISNUMBER(Q75),Q75*4,0)+IF(ISNUMBER(Q81),Q81*4,0)+IF(ISNUMBER(Q87),Q87*4,0)+IF(ISNUMBER(Q93),Q93*4,0)+IF(ISNUMBER(Q101),Q101*4,0)+IF(ISNUMBER(Q107),Q107*4,0)+IF(ISNUMBER(Q113),Q113*4,0)+IF(ISNUMBER(Q119),Q119*4,0)+IF(ISNUMBER(Q125),Q125*4,0)+IF(ISNUMBER(Q133),Q133*4,0)+IF(ISNUMBER(Q139),Q139*4,0)+IF(ISNUMBER(Q145),Q145*4,0)+IF(ISNUMBER(Q151),Q151*4,0)+IF(ISNUMBER(Q157),Q157*4,0))/(IF(ISNUMBER(Q5),4,0)+IF(ISNUMBER(Q11),4,0)+IF(ISNUMBER(Q17),4,0)+IF(ISNUMBER(Q23),4,0)+IF(ISNUMBER(Q29),4,0)+IF(ISNUMBER(Q37),4,0)+IF(ISNUMBER(Q43),4,0)+IF(ISNUMBER(Q49),4,0)+IF(ISNUMBER(Q55),4,0)+IF(ISNUMBER(Q61),4,0)+IF(ISNUMBER(Q69),4,0)+IF(ISNUMBER(Q75),4,0)+IF(ISNUMBER(Q81),4,0)+IF(ISNUMBER(Q87),4,0)+IF(ISNUMBER(Q93),4,0)+IF(ISNUMBER(Q101),4,0)+IF(ISNUMBER(Q107),4,0)+IF(ISNUMBER(Q113),4,0)+IF(ISNUMBER(Q119),4,0)+IF(ISNUMBER(Q125),4,0)+IF(ISNUMBER(Q133),4,0)+IF(ISNUMBER(Q139),4,0)+IF(ISNUMBER(Q145),4,0)+IF(ISNUMBER(Q151),4,0)+IF(ISNUMBER(Q157),4,0)))</f>
        <v/>
      </c>
      <c r="R164" s="41" t="str">
        <f>IF((IF(ISNUMBER(R5),4,0)+IF(ISNUMBER(R11),4,0)+IF(ISNUMBER(R17),4,0)+IF(ISNUMBER(R23),4,0)+IF(ISNUMBER(R29),4,0)+IF(ISNUMBER(R37),4,0)+IF(ISNUMBER(R43),4,0)+IF(ISNUMBER(R49),4,0)+IF(ISNUMBER(R55),4,0)+IF(ISNUMBER(R61),4,0)+IF(ISNUMBER(R69),4,0)+IF(ISNUMBER(R75),4,0)+IF(ISNUMBER(R81),4,0)+IF(ISNUMBER(R87),4,0)+IF(ISNUMBER(R93),4,0)+IF(ISNUMBER(R101),4,0)+IF(ISNUMBER(R107),4,0)+IF(ISNUMBER(R113),4,0)+IF(ISNUMBER(R119),4,0)+IF(ISNUMBER(R125),4,0)+IF(ISNUMBER(R133),4,0)+IF(ISNUMBER(R139),4,0)+IF(ISNUMBER(R145),4,0)+IF(ISNUMBER(R151),4,0)+IF(ISNUMBER(R157),4,0))=0,"",(IF(ISNUMBER(R5),R5*4,0)+IF(ISNUMBER(R11),R11*4,0)+IF(ISNUMBER(R17),R17*4,0)+IF(ISNUMBER(R23),R23*4,0)+IF(ISNUMBER(R29),R29*4,0)+IF(ISNUMBER(R37),R37*4,0)+IF(ISNUMBER(R43),R43*4,0)+IF(ISNUMBER(R49),R49*4,0)+IF(ISNUMBER(R55),R55*4,0)+IF(ISNUMBER(R61),R61*4,0)+IF(ISNUMBER(R69),R69*4,0)+IF(ISNUMBER(R75),R75*4,0)+IF(ISNUMBER(R81),R81*4,0)+IF(ISNUMBER(R87),R87*4,0)+IF(ISNUMBER(R93),R93*4,0)+IF(ISNUMBER(R101),R101*4,0)+IF(ISNUMBER(R107),R107*4,0)+IF(ISNUMBER(R113),R113*4,0)+IF(ISNUMBER(R119),R119*4,0)+IF(ISNUMBER(R125),R125*4,0)+IF(ISNUMBER(R133),R133*4,0)+IF(ISNUMBER(R139),R139*4,0)+IF(ISNUMBER(R145),R145*4,0)+IF(ISNUMBER(R151),R151*4,0)+IF(ISNUMBER(R157),R157*4,0))/(IF(ISNUMBER(R5),4,0)+IF(ISNUMBER(R11),4,0)+IF(ISNUMBER(R17),4,0)+IF(ISNUMBER(R23),4,0)+IF(ISNUMBER(R29),4,0)+IF(ISNUMBER(R37),4,0)+IF(ISNUMBER(R43),4,0)+IF(ISNUMBER(R49),4,0)+IF(ISNUMBER(R55),4,0)+IF(ISNUMBER(R61),4,0)+IF(ISNUMBER(R69),4,0)+IF(ISNUMBER(R75),4,0)+IF(ISNUMBER(R81),4,0)+IF(ISNUMBER(R87),4,0)+IF(ISNUMBER(R93),4,0)+IF(ISNUMBER(R101),4,0)+IF(ISNUMBER(R107),4,0)+IF(ISNUMBER(R113),4,0)+IF(ISNUMBER(R119),4,0)+IF(ISNUMBER(R125),4,0)+IF(ISNUMBER(R133),4,0)+IF(ISNUMBER(R139),4,0)+IF(ISNUMBER(R145),4,0)+IF(ISNUMBER(R151),4,0)+IF(ISNUMBER(R157),4,0)))</f>
        <v/>
      </c>
      <c r="S164" s="41" t="str">
        <f>IF((IF(ISNUMBER(S5),4,0)+IF(ISNUMBER(S11),4,0)+IF(ISNUMBER(S17),4,0)+IF(ISNUMBER(S23),4,0)+IF(ISNUMBER(S29),4,0)+IF(ISNUMBER(S37),4,0)+IF(ISNUMBER(S43),4,0)+IF(ISNUMBER(S49),4,0)+IF(ISNUMBER(S55),4,0)+IF(ISNUMBER(S61),4,0)+IF(ISNUMBER(S69),4,0)+IF(ISNUMBER(S75),4,0)+IF(ISNUMBER(S81),4,0)+IF(ISNUMBER(S87),4,0)+IF(ISNUMBER(S93),4,0)+IF(ISNUMBER(S101),4,0)+IF(ISNUMBER(S107),4,0)+IF(ISNUMBER(S113),4,0)+IF(ISNUMBER(S119),4,0)+IF(ISNUMBER(S125),4,0)+IF(ISNUMBER(S133),4,0)+IF(ISNUMBER(S139),4,0)+IF(ISNUMBER(S145),4,0)+IF(ISNUMBER(S151),4,0)+IF(ISNUMBER(S157),4,0))=0,"",(IF(ISNUMBER(S5),S5*4,0)+IF(ISNUMBER(S11),S11*4,0)+IF(ISNUMBER(S17),S17*4,0)+IF(ISNUMBER(S23),S23*4,0)+IF(ISNUMBER(S29),S29*4,0)+IF(ISNUMBER(S37),S37*4,0)+IF(ISNUMBER(S43),S43*4,0)+IF(ISNUMBER(S49),S49*4,0)+IF(ISNUMBER(S55),S55*4,0)+IF(ISNUMBER(S61),S61*4,0)+IF(ISNUMBER(S69),S69*4,0)+IF(ISNUMBER(S75),S75*4,0)+IF(ISNUMBER(S81),S81*4,0)+IF(ISNUMBER(S87),S87*4,0)+IF(ISNUMBER(S93),S93*4,0)+IF(ISNUMBER(S101),S101*4,0)+IF(ISNUMBER(S107),S107*4,0)+IF(ISNUMBER(S113),S113*4,0)+IF(ISNUMBER(S119),S119*4,0)+IF(ISNUMBER(S125),S125*4,0)+IF(ISNUMBER(S133),S133*4,0)+IF(ISNUMBER(S139),S139*4,0)+IF(ISNUMBER(S145),S145*4,0)+IF(ISNUMBER(S151),S151*4,0)+IF(ISNUMBER(S157),S157*4,0))/(IF(ISNUMBER(S5),4,0)+IF(ISNUMBER(S11),4,0)+IF(ISNUMBER(S17),4,0)+IF(ISNUMBER(S23),4,0)+IF(ISNUMBER(S29),4,0)+IF(ISNUMBER(S37),4,0)+IF(ISNUMBER(S43),4,0)+IF(ISNUMBER(S49),4,0)+IF(ISNUMBER(S55),4,0)+IF(ISNUMBER(S61),4,0)+IF(ISNUMBER(S69),4,0)+IF(ISNUMBER(S75),4,0)+IF(ISNUMBER(S81),4,0)+IF(ISNUMBER(S87),4,0)+IF(ISNUMBER(S93),4,0)+IF(ISNUMBER(S101),4,0)+IF(ISNUMBER(S107),4,0)+IF(ISNUMBER(S113),4,0)+IF(ISNUMBER(S119),4,0)+IF(ISNUMBER(S125),4,0)+IF(ISNUMBER(S133),4,0)+IF(ISNUMBER(S139),4,0)+IF(ISNUMBER(S145),4,0)+IF(ISNUMBER(S151),4,0)+IF(ISNUMBER(S157),4,0)))</f>
        <v/>
      </c>
      <c r="T164" s="41" t="str">
        <f>IF((IF(ISNUMBER(T5),4,0)+IF(ISNUMBER(T11),4,0)+IF(ISNUMBER(T17),4,0)+IF(ISNUMBER(T23),4,0)+IF(ISNUMBER(T29),4,0)+IF(ISNUMBER(T37),4,0)+IF(ISNUMBER(T43),4,0)+IF(ISNUMBER(T49),4,0)+IF(ISNUMBER(T55),4,0)+IF(ISNUMBER(T61),4,0)+IF(ISNUMBER(T69),4,0)+IF(ISNUMBER(T75),4,0)+IF(ISNUMBER(T81),4,0)+IF(ISNUMBER(T87),4,0)+IF(ISNUMBER(T93),4,0)+IF(ISNUMBER(T101),4,0)+IF(ISNUMBER(T107),4,0)+IF(ISNUMBER(T113),4,0)+IF(ISNUMBER(T119),4,0)+IF(ISNUMBER(T125),4,0)+IF(ISNUMBER(T133),4,0)+IF(ISNUMBER(T139),4,0)+IF(ISNUMBER(T145),4,0)+IF(ISNUMBER(T151),4,0)+IF(ISNUMBER(T157),4,0))=0,"",(IF(ISNUMBER(T5),T5*4,0)+IF(ISNUMBER(T11),T11*4,0)+IF(ISNUMBER(T17),T17*4,0)+IF(ISNUMBER(T23),T23*4,0)+IF(ISNUMBER(T29),T29*4,0)+IF(ISNUMBER(T37),T37*4,0)+IF(ISNUMBER(T43),T43*4,0)+IF(ISNUMBER(T49),T49*4,0)+IF(ISNUMBER(T55),T55*4,0)+IF(ISNUMBER(T61),T61*4,0)+IF(ISNUMBER(T69),T69*4,0)+IF(ISNUMBER(T75),T75*4,0)+IF(ISNUMBER(T81),T81*4,0)+IF(ISNUMBER(T87),T87*4,0)+IF(ISNUMBER(T93),T93*4,0)+IF(ISNUMBER(T101),T101*4,0)+IF(ISNUMBER(T107),T107*4,0)+IF(ISNUMBER(T113),T113*4,0)+IF(ISNUMBER(T119),T119*4,0)+IF(ISNUMBER(T125),T125*4,0)+IF(ISNUMBER(T133),T133*4,0)+IF(ISNUMBER(T139),T139*4,0)+IF(ISNUMBER(T145),T145*4,0)+IF(ISNUMBER(T151),T151*4,0)+IF(ISNUMBER(T157),T157*4,0))/(IF(ISNUMBER(T5),4,0)+IF(ISNUMBER(T11),4,0)+IF(ISNUMBER(T17),4,0)+IF(ISNUMBER(T23),4,0)+IF(ISNUMBER(T29),4,0)+IF(ISNUMBER(T37),4,0)+IF(ISNUMBER(T43),4,0)+IF(ISNUMBER(T49),4,0)+IF(ISNUMBER(T55),4,0)+IF(ISNUMBER(T61),4,0)+IF(ISNUMBER(T69),4,0)+IF(ISNUMBER(T75),4,0)+IF(ISNUMBER(T81),4,0)+IF(ISNUMBER(T87),4,0)+IF(ISNUMBER(T93),4,0)+IF(ISNUMBER(T101),4,0)+IF(ISNUMBER(T107),4,0)+IF(ISNUMBER(T113),4,0)+IF(ISNUMBER(T119),4,0)+IF(ISNUMBER(T125),4,0)+IF(ISNUMBER(T133),4,0)+IF(ISNUMBER(T139),4,0)+IF(ISNUMBER(T145),4,0)+IF(ISNUMBER(T151),4,0)+IF(ISNUMBER(T157),4,0)))</f>
        <v/>
      </c>
      <c r="U164" s="41" t="str">
        <f>IF((IF(ISNUMBER(U5),4,0)+IF(ISNUMBER(U11),4,0)+IF(ISNUMBER(U17),4,0)+IF(ISNUMBER(U23),4,0)+IF(ISNUMBER(U29),4,0)+IF(ISNUMBER(U37),4,0)+IF(ISNUMBER(U43),4,0)+IF(ISNUMBER(U49),4,0)+IF(ISNUMBER(U55),4,0)+IF(ISNUMBER(U61),4,0)+IF(ISNUMBER(U69),4,0)+IF(ISNUMBER(U75),4,0)+IF(ISNUMBER(U81),4,0)+IF(ISNUMBER(U87),4,0)+IF(ISNUMBER(U93),4,0)+IF(ISNUMBER(U101),4,0)+IF(ISNUMBER(U107),4,0)+IF(ISNUMBER(U113),4,0)+IF(ISNUMBER(U119),4,0)+IF(ISNUMBER(U125),4,0)+IF(ISNUMBER(U133),4,0)+IF(ISNUMBER(U139),4,0)+IF(ISNUMBER(U145),4,0)+IF(ISNUMBER(U151),4,0)+IF(ISNUMBER(U157),4,0))=0,"",(IF(ISNUMBER(U5),U5*4,0)+IF(ISNUMBER(U11),U11*4,0)+IF(ISNUMBER(U17),U17*4,0)+IF(ISNUMBER(U23),U23*4,0)+IF(ISNUMBER(U29),U29*4,0)+IF(ISNUMBER(U37),U37*4,0)+IF(ISNUMBER(U43),U43*4,0)+IF(ISNUMBER(U49),U49*4,0)+IF(ISNUMBER(U55),U55*4,0)+IF(ISNUMBER(U61),U61*4,0)+IF(ISNUMBER(U69),U69*4,0)+IF(ISNUMBER(U75),U75*4,0)+IF(ISNUMBER(U81),U81*4,0)+IF(ISNUMBER(U87),U87*4,0)+IF(ISNUMBER(U93),U93*4,0)+IF(ISNUMBER(U101),U101*4,0)+IF(ISNUMBER(U107),U107*4,0)+IF(ISNUMBER(U113),U113*4,0)+IF(ISNUMBER(U119),U119*4,0)+IF(ISNUMBER(U125),U125*4,0)+IF(ISNUMBER(U133),U133*4,0)+IF(ISNUMBER(U139),U139*4,0)+IF(ISNUMBER(U145),U145*4,0)+IF(ISNUMBER(U151),U151*4,0)+IF(ISNUMBER(U157),U157*4,0))/(IF(ISNUMBER(U5),4,0)+IF(ISNUMBER(U11),4,0)+IF(ISNUMBER(U17),4,0)+IF(ISNUMBER(U23),4,0)+IF(ISNUMBER(U29),4,0)+IF(ISNUMBER(U37),4,0)+IF(ISNUMBER(U43),4,0)+IF(ISNUMBER(U49),4,0)+IF(ISNUMBER(U55),4,0)+IF(ISNUMBER(U61),4,0)+IF(ISNUMBER(U69),4,0)+IF(ISNUMBER(U75),4,0)+IF(ISNUMBER(U81),4,0)+IF(ISNUMBER(U87),4,0)+IF(ISNUMBER(U93),4,0)+IF(ISNUMBER(U101),4,0)+IF(ISNUMBER(U107),4,0)+IF(ISNUMBER(U113),4,0)+IF(ISNUMBER(U119),4,0)+IF(ISNUMBER(U125),4,0)+IF(ISNUMBER(U133),4,0)+IF(ISNUMBER(U139),4,0)+IF(ISNUMBER(U145),4,0)+IF(ISNUMBER(U151),4,0)+IF(ISNUMBER(U157),4,0)))</f>
        <v/>
      </c>
      <c r="V164" s="41" t="str">
        <f>IF((IF(ISNUMBER(V5),4,0)+IF(ISNUMBER(V11),4,0)+IF(ISNUMBER(V17),4,0)+IF(ISNUMBER(V23),4,0)+IF(ISNUMBER(V29),4,0)+IF(ISNUMBER(V37),4,0)+IF(ISNUMBER(V43),4,0)+IF(ISNUMBER(V49),4,0)+IF(ISNUMBER(V55),4,0)+IF(ISNUMBER(V61),4,0)+IF(ISNUMBER(V69),4,0)+IF(ISNUMBER(V75),4,0)+IF(ISNUMBER(V81),4,0)+IF(ISNUMBER(V87),4,0)+IF(ISNUMBER(V93),4,0)+IF(ISNUMBER(V101),4,0)+IF(ISNUMBER(V107),4,0)+IF(ISNUMBER(V113),4,0)+IF(ISNUMBER(V119),4,0)+IF(ISNUMBER(V125),4,0)+IF(ISNUMBER(V133),4,0)+IF(ISNUMBER(V139),4,0)+IF(ISNUMBER(V145),4,0)+IF(ISNUMBER(V151),4,0)+IF(ISNUMBER(V157),4,0))=0,"",(IF(ISNUMBER(V5),V5*4,0)+IF(ISNUMBER(V11),V11*4,0)+IF(ISNUMBER(V17),V17*4,0)+IF(ISNUMBER(V23),V23*4,0)+IF(ISNUMBER(V29),V29*4,0)+IF(ISNUMBER(V37),V37*4,0)+IF(ISNUMBER(V43),V43*4,0)+IF(ISNUMBER(V49),V49*4,0)+IF(ISNUMBER(V55),V55*4,0)+IF(ISNUMBER(V61),V61*4,0)+IF(ISNUMBER(V69),V69*4,0)+IF(ISNUMBER(V75),V75*4,0)+IF(ISNUMBER(V81),V81*4,0)+IF(ISNUMBER(V87),V87*4,0)+IF(ISNUMBER(V93),V93*4,0)+IF(ISNUMBER(V101),V101*4,0)+IF(ISNUMBER(V107),V107*4,0)+IF(ISNUMBER(V113),V113*4,0)+IF(ISNUMBER(V119),V119*4,0)+IF(ISNUMBER(V125),V125*4,0)+IF(ISNUMBER(V133),V133*4,0)+IF(ISNUMBER(V139),V139*4,0)+IF(ISNUMBER(V145),V145*4,0)+IF(ISNUMBER(V151),V151*4,0)+IF(ISNUMBER(V157),V157*4,0))/(IF(ISNUMBER(V5),4,0)+IF(ISNUMBER(V11),4,0)+IF(ISNUMBER(V17),4,0)+IF(ISNUMBER(V23),4,0)+IF(ISNUMBER(V29),4,0)+IF(ISNUMBER(V37),4,0)+IF(ISNUMBER(V43),4,0)+IF(ISNUMBER(V49),4,0)+IF(ISNUMBER(V55),4,0)+IF(ISNUMBER(V61),4,0)+IF(ISNUMBER(V69),4,0)+IF(ISNUMBER(V75),4,0)+IF(ISNUMBER(V81),4,0)+IF(ISNUMBER(V87),4,0)+IF(ISNUMBER(V93),4,0)+IF(ISNUMBER(V101),4,0)+IF(ISNUMBER(V107),4,0)+IF(ISNUMBER(V113),4,0)+IF(ISNUMBER(V119),4,0)+IF(ISNUMBER(V125),4,0)+IF(ISNUMBER(V133),4,0)+IF(ISNUMBER(V139),4,0)+IF(ISNUMBER(V145),4,0)+IF(ISNUMBER(V151),4,0)+IF(ISNUMBER(V157),4,0)))</f>
        <v/>
      </c>
      <c r="W164" s="41" t="str">
        <f>IF((IF(ISNUMBER(W5),4,0)+IF(ISNUMBER(W11),4,0)+IF(ISNUMBER(W17),4,0)+IF(ISNUMBER(W23),4,0)+IF(ISNUMBER(W29),4,0)+IF(ISNUMBER(W37),4,0)+IF(ISNUMBER(W43),4,0)+IF(ISNUMBER(W49),4,0)+IF(ISNUMBER(W55),4,0)+IF(ISNUMBER(W61),4,0)+IF(ISNUMBER(W69),4,0)+IF(ISNUMBER(W75),4,0)+IF(ISNUMBER(W81),4,0)+IF(ISNUMBER(W87),4,0)+IF(ISNUMBER(W93),4,0)+IF(ISNUMBER(W101),4,0)+IF(ISNUMBER(W107),4,0)+IF(ISNUMBER(W113),4,0)+IF(ISNUMBER(W119),4,0)+IF(ISNUMBER(W125),4,0)+IF(ISNUMBER(W133),4,0)+IF(ISNUMBER(W139),4,0)+IF(ISNUMBER(W145),4,0)+IF(ISNUMBER(W151),4,0)+IF(ISNUMBER(W157),4,0))=0,"",(IF(ISNUMBER(W5),W5*4,0)+IF(ISNUMBER(W11),W11*4,0)+IF(ISNUMBER(W17),W17*4,0)+IF(ISNUMBER(W23),W23*4,0)+IF(ISNUMBER(W29),W29*4,0)+IF(ISNUMBER(W37),W37*4,0)+IF(ISNUMBER(W43),W43*4,0)+IF(ISNUMBER(W49),W49*4,0)+IF(ISNUMBER(W55),W55*4,0)+IF(ISNUMBER(W61),W61*4,0)+IF(ISNUMBER(W69),W69*4,0)+IF(ISNUMBER(W75),W75*4,0)+IF(ISNUMBER(W81),W81*4,0)+IF(ISNUMBER(W87),W87*4,0)+IF(ISNUMBER(W93),W93*4,0)+IF(ISNUMBER(W101),W101*4,0)+IF(ISNUMBER(W107),W107*4,0)+IF(ISNUMBER(W113),W113*4,0)+IF(ISNUMBER(W119),W119*4,0)+IF(ISNUMBER(W125),W125*4,0)+IF(ISNUMBER(W133),W133*4,0)+IF(ISNUMBER(W139),W139*4,0)+IF(ISNUMBER(W145),W145*4,0)+IF(ISNUMBER(W151),W151*4,0)+IF(ISNUMBER(W157),W157*4,0))/(IF(ISNUMBER(W5),4,0)+IF(ISNUMBER(W11),4,0)+IF(ISNUMBER(W17),4,0)+IF(ISNUMBER(W23),4,0)+IF(ISNUMBER(W29),4,0)+IF(ISNUMBER(W37),4,0)+IF(ISNUMBER(W43),4,0)+IF(ISNUMBER(W49),4,0)+IF(ISNUMBER(W55),4,0)+IF(ISNUMBER(W61),4,0)+IF(ISNUMBER(W69),4,0)+IF(ISNUMBER(W75),4,0)+IF(ISNUMBER(W81),4,0)+IF(ISNUMBER(W87),4,0)+IF(ISNUMBER(W93),4,0)+IF(ISNUMBER(W101),4,0)+IF(ISNUMBER(W107),4,0)+IF(ISNUMBER(W113),4,0)+IF(ISNUMBER(W119),4,0)+IF(ISNUMBER(W125),4,0)+IF(ISNUMBER(W133),4,0)+IF(ISNUMBER(W139),4,0)+IF(ISNUMBER(W145),4,0)+IF(ISNUMBER(W151),4,0)+IF(ISNUMBER(W157),4,0)))</f>
        <v/>
      </c>
      <c r="X164" s="41" t="str">
        <f>IF((IF(ISNUMBER(X5),4,0)+IF(ISNUMBER(X11),4,0)+IF(ISNUMBER(X17),4,0)+IF(ISNUMBER(X23),4,0)+IF(ISNUMBER(X29),4,0)+IF(ISNUMBER(X37),4,0)+IF(ISNUMBER(X43),4,0)+IF(ISNUMBER(X49),4,0)+IF(ISNUMBER(X55),4,0)+IF(ISNUMBER(X61),4,0)+IF(ISNUMBER(X69),4,0)+IF(ISNUMBER(X75),4,0)+IF(ISNUMBER(X81),4,0)+IF(ISNUMBER(X87),4,0)+IF(ISNUMBER(X93),4,0)+IF(ISNUMBER(X101),4,0)+IF(ISNUMBER(X107),4,0)+IF(ISNUMBER(X113),4,0)+IF(ISNUMBER(X119),4,0)+IF(ISNUMBER(X125),4,0)+IF(ISNUMBER(X133),4,0)+IF(ISNUMBER(X139),4,0)+IF(ISNUMBER(X145),4,0)+IF(ISNUMBER(X151),4,0)+IF(ISNUMBER(X157),4,0))=0,"",(IF(ISNUMBER(X5),X5*4,0)+IF(ISNUMBER(X11),X11*4,0)+IF(ISNUMBER(X17),X17*4,0)+IF(ISNUMBER(X23),X23*4,0)+IF(ISNUMBER(X29),X29*4,0)+IF(ISNUMBER(X37),X37*4,0)+IF(ISNUMBER(X43),X43*4,0)+IF(ISNUMBER(X49),X49*4,0)+IF(ISNUMBER(X55),X55*4,0)+IF(ISNUMBER(X61),X61*4,0)+IF(ISNUMBER(X69),X69*4,0)+IF(ISNUMBER(X75),X75*4,0)+IF(ISNUMBER(X81),X81*4,0)+IF(ISNUMBER(X87),X87*4,0)+IF(ISNUMBER(X93),X93*4,0)+IF(ISNUMBER(X101),X101*4,0)+IF(ISNUMBER(X107),X107*4,0)+IF(ISNUMBER(X113),X113*4,0)+IF(ISNUMBER(X119),X119*4,0)+IF(ISNUMBER(X125),X125*4,0)+IF(ISNUMBER(X133),X133*4,0)+IF(ISNUMBER(X139),X139*4,0)+IF(ISNUMBER(X145),X145*4,0)+IF(ISNUMBER(X151),X151*4,0)+IF(ISNUMBER(X157),X157*4,0))/(IF(ISNUMBER(X5),4,0)+IF(ISNUMBER(X11),4,0)+IF(ISNUMBER(X17),4,0)+IF(ISNUMBER(X23),4,0)+IF(ISNUMBER(X29),4,0)+IF(ISNUMBER(X37),4,0)+IF(ISNUMBER(X43),4,0)+IF(ISNUMBER(X49),4,0)+IF(ISNUMBER(X55),4,0)+IF(ISNUMBER(X61),4,0)+IF(ISNUMBER(X69),4,0)+IF(ISNUMBER(X75),4,0)+IF(ISNUMBER(X81),4,0)+IF(ISNUMBER(X87),4,0)+IF(ISNUMBER(X93),4,0)+IF(ISNUMBER(X101),4,0)+IF(ISNUMBER(X107),4,0)+IF(ISNUMBER(X113),4,0)+IF(ISNUMBER(X119),4,0)+IF(ISNUMBER(X125),4,0)+IF(ISNUMBER(X133),4,0)+IF(ISNUMBER(X139),4,0)+IF(ISNUMBER(X145),4,0)+IF(ISNUMBER(X151),4,0)+IF(ISNUMBER(X157),4,0)))</f>
        <v/>
      </c>
      <c r="Y164" s="41" t="str">
        <f>IF((IF(ISNUMBER(Y5),4,0)+IF(ISNUMBER(Y11),4,0)+IF(ISNUMBER(Y17),4,0)+IF(ISNUMBER(Y23),4,0)+IF(ISNUMBER(Y29),4,0)+IF(ISNUMBER(Y37),4,0)+IF(ISNUMBER(Y43),4,0)+IF(ISNUMBER(Y49),4,0)+IF(ISNUMBER(Y55),4,0)+IF(ISNUMBER(Y61),4,0)+IF(ISNUMBER(Y69),4,0)+IF(ISNUMBER(Y75),4,0)+IF(ISNUMBER(Y81),4,0)+IF(ISNUMBER(Y87),4,0)+IF(ISNUMBER(Y93),4,0)+IF(ISNUMBER(Y101),4,0)+IF(ISNUMBER(Y107),4,0)+IF(ISNUMBER(Y113),4,0)+IF(ISNUMBER(Y119),4,0)+IF(ISNUMBER(Y125),4,0)+IF(ISNUMBER(Y133),4,0)+IF(ISNUMBER(Y139),4,0)+IF(ISNUMBER(Y145),4,0)+IF(ISNUMBER(Y151),4,0)+IF(ISNUMBER(Y157),4,0))=0,"",(IF(ISNUMBER(Y5),Y5*4,0)+IF(ISNUMBER(Y11),Y11*4,0)+IF(ISNUMBER(Y17),Y17*4,0)+IF(ISNUMBER(Y23),Y23*4,0)+IF(ISNUMBER(Y29),Y29*4,0)+IF(ISNUMBER(Y37),Y37*4,0)+IF(ISNUMBER(Y43),Y43*4,0)+IF(ISNUMBER(Y49),Y49*4,0)+IF(ISNUMBER(Y55),Y55*4,0)+IF(ISNUMBER(Y61),Y61*4,0)+IF(ISNUMBER(Y69),Y69*4,0)+IF(ISNUMBER(Y75),Y75*4,0)+IF(ISNUMBER(Y81),Y81*4,0)+IF(ISNUMBER(Y87),Y87*4,0)+IF(ISNUMBER(Y93),Y93*4,0)+IF(ISNUMBER(Y101),Y101*4,0)+IF(ISNUMBER(Y107),Y107*4,0)+IF(ISNUMBER(Y113),Y113*4,0)+IF(ISNUMBER(Y119),Y119*4,0)+IF(ISNUMBER(Y125),Y125*4,0)+IF(ISNUMBER(Y133),Y133*4,0)+IF(ISNUMBER(Y139),Y139*4,0)+IF(ISNUMBER(Y145),Y145*4,0)+IF(ISNUMBER(Y151),Y151*4,0)+IF(ISNUMBER(Y157),Y157*4,0))/(IF(ISNUMBER(Y5),4,0)+IF(ISNUMBER(Y11),4,0)+IF(ISNUMBER(Y17),4,0)+IF(ISNUMBER(Y23),4,0)+IF(ISNUMBER(Y29),4,0)+IF(ISNUMBER(Y37),4,0)+IF(ISNUMBER(Y43),4,0)+IF(ISNUMBER(Y49),4,0)+IF(ISNUMBER(Y55),4,0)+IF(ISNUMBER(Y61),4,0)+IF(ISNUMBER(Y69),4,0)+IF(ISNUMBER(Y75),4,0)+IF(ISNUMBER(Y81),4,0)+IF(ISNUMBER(Y87),4,0)+IF(ISNUMBER(Y93),4,0)+IF(ISNUMBER(Y101),4,0)+IF(ISNUMBER(Y107),4,0)+IF(ISNUMBER(Y113),4,0)+IF(ISNUMBER(Y119),4,0)+IF(ISNUMBER(Y125),4,0)+IF(ISNUMBER(Y133),4,0)+IF(ISNUMBER(Y139),4,0)+IF(ISNUMBER(Y145),4,0)+IF(ISNUMBER(Y151),4,0)+IF(ISNUMBER(Y157),4,0)))</f>
        <v/>
      </c>
      <c r="Z164" s="41" t="str">
        <f>_xlfn.IFERROR(AVERAGE(E164:Y164),"")</f>
        <v/>
      </c>
    </row>
  </sheetData>
  <mergeCells count="8">
    <mergeCell ref="A36:Z36"/>
    <mergeCell ref="A132:Z132"/>
    <mergeCell ref="A100:Z100"/>
    <mergeCell ref="A164:D164"/>
    <mergeCell ref="A1:Z1"/>
    <mergeCell ref="A4:Z4"/>
    <mergeCell ref="A2:Z2"/>
    <mergeCell ref="A68:Z68"/>
  </mergeCells>
  <conditionalFormatting sqref="E4:Y164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Z4:Z164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dataValidations count="125">
    <dataValidation allowBlank="1" type="list" errorStyle="stop" sqref="E20:Y20">
      <formula1>"Ya,Tidak"</formula1>
    </dataValidation>
    <dataValidation allowBlank="1" type="list" errorStyle="stop" sqref="E33:Y33">
      <formula1>"Ya,Tidak"</formula1>
    </dataValidation>
    <dataValidation allowBlank="1" type="list" errorStyle="stop" sqref="E25:Y25">
      <formula1>"Ya,Tidak"</formula1>
    </dataValidation>
    <dataValidation allowBlank="1" type="list" errorStyle="stop" sqref="E27:Y27">
      <formula1>"Ya,Tidak"</formula1>
    </dataValidation>
    <dataValidation allowBlank="1" type="list" errorStyle="stop" sqref="E64:Y64">
      <formula1>"Ya,Tidak"</formula1>
    </dataValidation>
    <dataValidation allowBlank="1" type="list" errorStyle="stop" sqref="E79:Y79">
      <formula1>"Ya,Tidak"</formula1>
    </dataValidation>
    <dataValidation allowBlank="1" type="list" errorStyle="stop" sqref="E106:Y106">
      <formula1>"Ya,Tidak"</formula1>
    </dataValidation>
    <dataValidation allowBlank="1" type="list" errorStyle="stop" sqref="E127:Y127">
      <formula1>"Ya,Tidak"</formula1>
    </dataValidation>
    <dataValidation allowBlank="1" type="list" errorStyle="stop" sqref="E6:Y6">
      <formula1>"Ya,Tidak"</formula1>
    </dataValidation>
    <dataValidation allowBlank="1" type="list" errorStyle="stop" sqref="E14:Y14">
      <formula1>"Ya,Tidak"</formula1>
    </dataValidation>
    <dataValidation allowBlank="1" type="list" errorStyle="stop" sqref="E12:Y12">
      <formula1>"Ya,Tidak"</formula1>
    </dataValidation>
    <dataValidation allowBlank="1" type="list" errorStyle="stop" sqref="E9:Y9">
      <formula1>"Ya,Tidak"</formula1>
    </dataValidation>
    <dataValidation allowBlank="1" type="list" errorStyle="stop" sqref="E22:Y22">
      <formula1>"Ya,Tidak"</formula1>
    </dataValidation>
    <dataValidation allowBlank="1" type="list" errorStyle="stop" sqref="E45:Y45">
      <formula1>"Ya,Tidak"</formula1>
    </dataValidation>
    <dataValidation allowBlank="1" type="list" errorStyle="stop" sqref="E10:Y10">
      <formula1>"Ya,Tidak"</formula1>
    </dataValidation>
    <dataValidation allowBlank="1" type="list" errorStyle="stop" sqref="E26:Y26">
      <formula1>"Ya,Tidak"</formula1>
    </dataValidation>
    <dataValidation allowBlank="1" type="list" errorStyle="stop" sqref="E18:Y18">
      <formula1>"Ya,Tidak"</formula1>
    </dataValidation>
    <dataValidation allowBlank="1" type="list" errorStyle="stop" sqref="E31:Y31">
      <formula1>"Ya,Tidak"</formula1>
    </dataValidation>
    <dataValidation allowBlank="1" type="list" errorStyle="stop" sqref="E88:Y88">
      <formula1>"Ya,Tidak"</formula1>
    </dataValidation>
    <dataValidation allowBlank="1" type="list" errorStyle="stop" sqref="E97:Y97">
      <formula1>"Ya,Tidak"</formula1>
    </dataValidation>
    <dataValidation allowBlank="1" type="list" errorStyle="stop" sqref="E91:Y91">
      <formula1>"Ya,Tidak"</formula1>
    </dataValidation>
    <dataValidation allowBlank="1" type="list" errorStyle="stop" sqref="E94:Y94">
      <formula1>"Ya,Tidak"</formula1>
    </dataValidation>
    <dataValidation allowBlank="1" type="list" errorStyle="stop" sqref="E128:Y128">
      <formula1>"Ya,Tidak"</formula1>
    </dataValidation>
    <dataValidation allowBlank="1" type="list" errorStyle="stop" sqref="E143:Y143">
      <formula1>"Ya,Tidak"</formula1>
    </dataValidation>
    <dataValidation allowBlank="1" type="list" errorStyle="stop" sqref="E42:Y42">
      <formula1>"Ya,Tidak"</formula1>
    </dataValidation>
    <dataValidation allowBlank="1" type="list" errorStyle="stop" sqref="E63:Y63">
      <formula1>"Ya,Tidak"</formula1>
    </dataValidation>
    <dataValidation allowBlank="1" type="list" errorStyle="stop" sqref="E74:Y74">
      <formula1>"Ya,Tidak"</formula1>
    </dataValidation>
    <dataValidation allowBlank="1" type="list" errorStyle="stop" sqref="E95:Y95">
      <formula1>"Ya,Tidak"</formula1>
    </dataValidation>
    <dataValidation allowBlank="1" type="list" errorStyle="stop" sqref="E57:Y57">
      <formula1>"Ya,Tidak"</formula1>
    </dataValidation>
    <dataValidation allowBlank="1" type="list" errorStyle="stop" sqref="E72:Y72">
      <formula1>"Ya,Tidak"</formula1>
    </dataValidation>
    <dataValidation allowBlank="1" type="list" errorStyle="stop" sqref="E70:Y70">
      <formula1>"Ya,Tidak"</formula1>
    </dataValidation>
    <dataValidation allowBlank="1" type="list" errorStyle="stop" sqref="E60:Y60">
      <formula1>"Ya,Tidak"</formula1>
    </dataValidation>
    <dataValidation allowBlank="1" type="list" errorStyle="stop" sqref="E103:Y103">
      <formula1>"Ya,Tidak"</formula1>
    </dataValidation>
    <dataValidation allowBlank="1" type="list" errorStyle="stop" sqref="E116:Y116">
      <formula1>"Ya,Tidak"</formula1>
    </dataValidation>
    <dataValidation allowBlank="1" type="list" errorStyle="stop" sqref="E90:Y90">
      <formula1>"Ya,Tidak"</formula1>
    </dataValidation>
    <dataValidation allowBlank="1" type="list" errorStyle="stop" sqref="E109:Y109">
      <formula1>"Ya,Tidak"</formula1>
    </dataValidation>
    <dataValidation allowBlank="1" type="list" errorStyle="stop" sqref="E135:Y135">
      <formula1>"Ya,Tidak"</formula1>
    </dataValidation>
    <dataValidation allowBlank="1" type="list" errorStyle="stop" sqref="E148:Y148">
      <formula1>"Ya,Tidak"</formula1>
    </dataValidation>
    <dataValidation allowBlank="1" type="list" errorStyle="stop" sqref="E7:Y7">
      <formula1>"Ya,Tidak"</formula1>
    </dataValidation>
    <dataValidation allowBlank="1" type="list" errorStyle="stop" sqref="E19:Y19">
      <formula1>"Ya,Tidak"</formula1>
    </dataValidation>
    <dataValidation allowBlank="1" type="list" errorStyle="stop" sqref="E16:Y16">
      <formula1>"Ya,Tidak"</formula1>
    </dataValidation>
    <dataValidation allowBlank="1" type="list" errorStyle="stop" sqref="E13:Y13">
      <formula1>"Ya,Tidak"</formula1>
    </dataValidation>
    <dataValidation allowBlank="1" type="list" errorStyle="stop" sqref="E41:Y41">
      <formula1>"Ya,Tidak"</formula1>
    </dataValidation>
    <dataValidation allowBlank="1" type="list" errorStyle="stop" sqref="E54:Y54">
      <formula1>"Ya,Tidak"</formula1>
    </dataValidation>
    <dataValidation allowBlank="1" type="list" errorStyle="stop" sqref="E51:Y51">
      <formula1>"Ya,Tidak"</formula1>
    </dataValidation>
    <dataValidation allowBlank="1" type="list" errorStyle="stop" sqref="E46:Y46">
      <formula1>"Ya,Tidak"</formula1>
    </dataValidation>
    <dataValidation allowBlank="1" type="list" errorStyle="stop" sqref="E44:Y44">
      <formula1>"Ya,Tidak"</formula1>
    </dataValidation>
    <dataValidation allowBlank="1" type="list" errorStyle="stop" sqref="E48:Y48">
      <formula1>"Ya,Tidak"</formula1>
    </dataValidation>
    <dataValidation allowBlank="1" type="list" errorStyle="stop" sqref="E53:Y53">
      <formula1>"Ya,Tidak"</formula1>
    </dataValidation>
    <dataValidation allowBlank="1" type="list" errorStyle="stop" sqref="E39:Y39">
      <formula1>"Ya,Tidak"</formula1>
    </dataValidation>
    <dataValidation allowBlank="1" type="list" errorStyle="stop" sqref="E52:Y52">
      <formula1>"Ya,Tidak"</formula1>
    </dataValidation>
    <dataValidation allowBlank="1" type="list" errorStyle="stop" sqref="E34:Y34">
      <formula1>"Ya,Tidak"</formula1>
    </dataValidation>
    <dataValidation allowBlank="1" type="list" errorStyle="stop" sqref="E50:Y50">
      <formula1>"Ya,Tidak"</formula1>
    </dataValidation>
    <dataValidation allowBlank="1" type="list" errorStyle="stop" sqref="E21:Y21">
      <formula1>"Ya,Tidak"</formula1>
    </dataValidation>
    <dataValidation allowBlank="1" type="list" errorStyle="stop" sqref="E40:Y40">
      <formula1>"Ya,Tidak"</formula1>
    </dataValidation>
    <dataValidation allowBlank="1" type="list" errorStyle="stop" sqref="E38:Y38">
      <formula1>"Ya,Tidak"</formula1>
    </dataValidation>
    <dataValidation allowBlank="1" type="list" errorStyle="stop" sqref="E30:Y30">
      <formula1>"Ya,Tidak"</formula1>
    </dataValidation>
    <dataValidation allowBlank="1" type="list" errorStyle="stop" sqref="E15:Y15">
      <formula1>"Ya,Tidak"</formula1>
    </dataValidation>
    <dataValidation allowBlank="1" type="list" errorStyle="stop" sqref="E28:Y28">
      <formula1>"Ya,Tidak"</formula1>
    </dataValidation>
    <dataValidation allowBlank="1" type="list" errorStyle="stop" sqref="E32:Y32">
      <formula1>"Ya,Tidak"</formula1>
    </dataValidation>
    <dataValidation allowBlank="1" type="list" errorStyle="stop" sqref="E47:Y47">
      <formula1>"Ya,Tidak"</formula1>
    </dataValidation>
    <dataValidation allowBlank="1" type="list" errorStyle="stop" sqref="E8:Y8">
      <formula1>"Ya,Tidak"</formula1>
    </dataValidation>
    <dataValidation allowBlank="1" type="list" errorStyle="stop" sqref="E24:Y24">
      <formula1>"Ya,Tidak"</formula1>
    </dataValidation>
    <dataValidation allowBlank="1" type="list" errorStyle="stop" sqref="E71:Y71">
      <formula1>"Ya,Tidak"</formula1>
    </dataValidation>
    <dataValidation allowBlank="1" type="list" errorStyle="stop" sqref="E84:Y84">
      <formula1>"Ya,Tidak"</formula1>
    </dataValidation>
    <dataValidation allowBlank="1" type="list" errorStyle="stop" sqref="E56:Y56">
      <formula1>"Ya,Tidak"</formula1>
    </dataValidation>
    <dataValidation allowBlank="1" type="list" errorStyle="stop" sqref="E65:Y65">
      <formula1>"Ya,Tidak"</formula1>
    </dataValidation>
    <dataValidation allowBlank="1" type="list" errorStyle="stop" sqref="E59:Y59">
      <formula1>"Ya,Tidak"</formula1>
    </dataValidation>
    <dataValidation allowBlank="1" type="list" errorStyle="stop" sqref="E62:Y62">
      <formula1>"Ya,Tidak"</formula1>
    </dataValidation>
    <dataValidation allowBlank="1" type="list" errorStyle="stop" sqref="E89:Y89">
      <formula1>"Ya,Tidak"</formula1>
    </dataValidation>
    <dataValidation allowBlank="1" type="list" errorStyle="stop" sqref="E104:Y104">
      <formula1>"Ya,Tidak"</formula1>
    </dataValidation>
    <dataValidation allowBlank="1" type="list" errorStyle="stop" sqref="E102:Y102">
      <formula1>"Ya,Tidak"</formula1>
    </dataValidation>
    <dataValidation allowBlank="1" type="list" errorStyle="stop" sqref="E92:Y92">
      <formula1>"Ya,Tidak"</formula1>
    </dataValidation>
    <dataValidation allowBlank="1" type="list" errorStyle="stop" sqref="E66:Y66">
      <formula1>"Ya,Tidak"</formula1>
    </dataValidation>
    <dataValidation allowBlank="1" type="list" errorStyle="stop" sqref="E82:Y82">
      <formula1>"Ya,Tidak"</formula1>
    </dataValidation>
    <dataValidation allowBlank="1" type="list" errorStyle="stop" sqref="E58:Y58">
      <formula1>"Ya,Tidak"</formula1>
    </dataValidation>
    <dataValidation allowBlank="1" type="list" errorStyle="stop" sqref="E77:Y77">
      <formula1>"Ya,Tidak"</formula1>
    </dataValidation>
    <dataValidation allowBlank="1" type="list" errorStyle="stop" sqref="E73:Y73">
      <formula1>"Ya,Tidak"</formula1>
    </dataValidation>
    <dataValidation allowBlank="1" type="list" errorStyle="stop" sqref="E86:Y86">
      <formula1>"Ya,Tidak"</formula1>
    </dataValidation>
    <dataValidation allowBlank="1" type="list" errorStyle="stop" sqref="E83:Y83">
      <formula1>"Ya,Tidak"</formula1>
    </dataValidation>
    <dataValidation allowBlank="1" type="list" errorStyle="stop" sqref="E78:Y78">
      <formula1>"Ya,Tidak"</formula1>
    </dataValidation>
    <dataValidation allowBlank="1" type="list" errorStyle="stop" sqref="E76:Y76">
      <formula1>"Ya,Tidak"</formula1>
    </dataValidation>
    <dataValidation allowBlank="1" type="list" errorStyle="stop" sqref="E80:Y80">
      <formula1>"Ya,Tidak"</formula1>
    </dataValidation>
    <dataValidation allowBlank="1" type="list" errorStyle="stop" sqref="E85:Y85">
      <formula1>"Ya,Tidak"</formula1>
    </dataValidation>
    <dataValidation allowBlank="1" type="list" errorStyle="stop" sqref="E121:Y121">
      <formula1>"Ya,Tidak"</formula1>
    </dataValidation>
    <dataValidation allowBlank="1" type="list" errorStyle="stop" sqref="E136:Y136">
      <formula1>"Ya,Tidak"</formula1>
    </dataValidation>
    <dataValidation allowBlank="1" type="list" errorStyle="stop" sqref="E134:Y134">
      <formula1>"Ya,Tidak"</formula1>
    </dataValidation>
    <dataValidation allowBlank="1" type="list" errorStyle="stop" sqref="E124:Y124">
      <formula1>"Ya,Tidak"</formula1>
    </dataValidation>
    <dataValidation allowBlank="1" type="list" errorStyle="stop" sqref="E96:Y96">
      <formula1>"Ya,Tidak"</formula1>
    </dataValidation>
    <dataValidation allowBlank="1" type="list" errorStyle="stop" sqref="E111:Y111">
      <formula1>"Ya,Tidak"</formula1>
    </dataValidation>
    <dataValidation allowBlank="1" type="list" errorStyle="stop" sqref="E138:Y138">
      <formula1>"Ya,Tidak"</formula1>
    </dataValidation>
    <dataValidation allowBlank="1" type="list" errorStyle="stop" sqref="E159:Y159">
      <formula1>"Ya,Tidak"</formula1>
    </dataValidation>
    <dataValidation allowBlank="1" type="list" errorStyle="stop" sqref="E152:Y152">
      <formula1>"Ya,Tidak"</formula1>
    </dataValidation>
    <dataValidation allowBlank="1" type="list" errorStyle="stop" sqref="E161:Y161">
      <formula1>"Ya,Tidak"</formula1>
    </dataValidation>
    <dataValidation allowBlank="1" type="list" errorStyle="stop" sqref="E155:Y155">
      <formula1>"Ya,Tidak"</formula1>
    </dataValidation>
    <dataValidation allowBlank="1" type="list" errorStyle="stop" sqref="E158:Y158">
      <formula1>"Ya,Tidak"</formula1>
    </dataValidation>
    <dataValidation allowBlank="1" type="list" errorStyle="stop" sqref="E98:Y98">
      <formula1>"Ya,Tidak"</formula1>
    </dataValidation>
    <dataValidation allowBlank="1" type="list" errorStyle="stop" sqref="E114:Y114">
      <formula1>"Ya,Tidak"</formula1>
    </dataValidation>
    <dataValidation allowBlank="1" type="list" errorStyle="stop" sqref="E130:Y130">
      <formula1>"Ya,Tidak"</formula1>
    </dataValidation>
    <dataValidation allowBlank="1" type="list" errorStyle="stop" sqref="E146:Y146">
      <formula1>"Ya,Tidak"</formula1>
    </dataValidation>
    <dataValidation allowBlank="1" type="list" errorStyle="stop" sqref="E120:Y120">
      <formula1>"Ya,Tidak"</formula1>
    </dataValidation>
    <dataValidation allowBlank="1" type="list" errorStyle="stop" sqref="E129:Y129">
      <formula1>"Ya,Tidak"</formula1>
    </dataValidation>
    <dataValidation allowBlank="1" type="list" errorStyle="stop" sqref="E123:Y123">
      <formula1>"Ya,Tidak"</formula1>
    </dataValidation>
    <dataValidation allowBlank="1" type="list" errorStyle="stop" sqref="E126:Y126">
      <formula1>"Ya,Tidak"</formula1>
    </dataValidation>
    <dataValidation allowBlank="1" type="list" errorStyle="stop" sqref="E105:Y105">
      <formula1>"Ya,Tidak"</formula1>
    </dataValidation>
    <dataValidation allowBlank="1" type="list" errorStyle="stop" sqref="E118:Y118">
      <formula1>"Ya,Tidak"</formula1>
    </dataValidation>
    <dataValidation allowBlank="1" type="list" errorStyle="stop" sqref="E115:Y115">
      <formula1>"Ya,Tidak"</formula1>
    </dataValidation>
    <dataValidation allowBlank="1" type="list" errorStyle="stop" sqref="E110:Y110">
      <formula1>"Ya,Tidak"</formula1>
    </dataValidation>
    <dataValidation allowBlank="1" type="list" errorStyle="stop" sqref="E108:Y108">
      <formula1>"Ya,Tidak"</formula1>
    </dataValidation>
    <dataValidation allowBlank="1" type="list" errorStyle="stop" sqref="E112:Y112">
      <formula1>"Ya,Tidak"</formula1>
    </dataValidation>
    <dataValidation allowBlank="1" type="list" errorStyle="stop" sqref="E117:Y117">
      <formula1>"Ya,Tidak"</formula1>
    </dataValidation>
    <dataValidation allowBlank="1" type="list" errorStyle="stop" sqref="E122:Y122">
      <formula1>"Ya,Tidak"</formula1>
    </dataValidation>
    <dataValidation allowBlank="1" type="list" errorStyle="stop" sqref="E141:Y141">
      <formula1>"Ya,Tidak"</formula1>
    </dataValidation>
    <dataValidation allowBlank="1" type="list" errorStyle="stop" sqref="E137:Y137">
      <formula1>"Ya,Tidak"</formula1>
    </dataValidation>
    <dataValidation allowBlank="1" type="list" errorStyle="stop" sqref="E150:Y150">
      <formula1>"Ya,Tidak"</formula1>
    </dataValidation>
    <dataValidation allowBlank="1" type="list" errorStyle="stop" sqref="E147:Y147">
      <formula1>"Ya,Tidak"</formula1>
    </dataValidation>
    <dataValidation allowBlank="1" type="list" errorStyle="stop" sqref="E142:Y142">
      <formula1>"Ya,Tidak"</formula1>
    </dataValidation>
    <dataValidation allowBlank="1" type="list" errorStyle="stop" sqref="E140:Y140">
      <formula1>"Ya,Tidak"</formula1>
    </dataValidation>
    <dataValidation allowBlank="1" type="list" errorStyle="stop" sqref="E144:Y144">
      <formula1>"Ya,Tidak"</formula1>
    </dataValidation>
    <dataValidation allowBlank="1" type="list" errorStyle="stop" sqref="E149:Y149">
      <formula1>"Ya,Tidak"</formula1>
    </dataValidation>
    <dataValidation allowBlank="1" type="list" errorStyle="stop" sqref="E162:Y162">
      <formula1>"Ya,Tidak"</formula1>
    </dataValidation>
    <dataValidation allowBlank="1" type="list" errorStyle="stop" sqref="E153:Y153">
      <formula1>"Ya,Tidak"</formula1>
    </dataValidation>
    <dataValidation allowBlank="1" type="list" errorStyle="stop" sqref="E154:Y154">
      <formula1>"Ya,Tidak"</formula1>
    </dataValidation>
    <dataValidation allowBlank="1" type="list" errorStyle="stop" sqref="E156:Y156">
      <formula1>"Ya,Tidak"</formula1>
    </dataValidation>
    <dataValidation allowBlank="1" type="list" errorStyle="stop" sqref="E160:Y160">
      <formula1>"Ya,Tidak"</formula1>
    </dataValidation>
  </dataValidations>
  <pageMargins left="0.75" right="0.75" top="1.0" bottom="1.0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dimension ref="A1:AA102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62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8.0" customHeight="1">
      <c r="A1" s="1" t="s">
        <v>1201</v>
      </c>
    </row>
    <row r="2" spans="8:8">
      <c r="A2" s="2" t="s">
        <v>30</v>
      </c>
    </row>
    <row r="3" spans="8:8" ht="30.0" customHeight="1">
      <c r="A3" s="6" t="s">
        <v>31</v>
      </c>
      <c r="B3" s="6" t="s">
        <v>23</v>
      </c>
      <c r="C3" s="6" t="s">
        <v>32</v>
      </c>
      <c r="D3" s="6" t="s">
        <v>33</v>
      </c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0.0" customHeight="1">
      <c r="A4" s="18" t="s">
        <v>1202</v>
      </c>
    </row>
    <row r="5" spans="8:8" ht="40.0" customHeight="1">
      <c r="A5" s="28"/>
      <c r="B5" s="29" t="s">
        <v>809</v>
      </c>
      <c r="C5" s="30" t="s">
        <v>1154</v>
      </c>
      <c r="D5" s="29">
        <v>7.0</v>
      </c>
      <c r="E5" s="31" t="str">
        <f>IF(COUNTA(E6:E10)=0,"",COUNTIF(E6:E10,"Ya")/5*100)</f>
        <v/>
      </c>
      <c r="F5" s="31" t="str">
        <f>IF(COUNTA(F6:F10)=0,"",COUNTIF(F6:F10,"Ya")/5*100)</f>
        <v/>
      </c>
      <c r="G5" s="31" t="str">
        <f>IF(COUNTA(G6:G10)=0,"",COUNTIF(G6:G10,"Ya")/5*100)</f>
        <v/>
      </c>
      <c r="H5" s="31" t="str">
        <f>IF(COUNTA(H6:H10)=0,"",COUNTIF(H6:H10,"Ya")/5*100)</f>
        <v/>
      </c>
      <c r="I5" s="31" t="str">
        <f>IF(COUNTA(I6:I10)=0,"",COUNTIF(I6:I10,"Ya")/5*100)</f>
        <v/>
      </c>
      <c r="J5" s="31" t="str">
        <f>IF(COUNTA(J6:J10)=0,"",COUNTIF(J6:J10,"Ya")/5*100)</f>
        <v/>
      </c>
      <c r="K5" s="31" t="str">
        <f>IF(COUNTA(K6:K10)=0,"",COUNTIF(K6:K10,"Ya")/5*100)</f>
        <v/>
      </c>
      <c r="L5" s="31" t="str">
        <f>IF(COUNTA(L6:L10)=0,"",COUNTIF(L6:L10,"Ya")/5*100)</f>
        <v/>
      </c>
      <c r="M5" s="31" t="str">
        <f>IF(COUNTA(M6:M10)=0,"",COUNTIF(M6:M10,"Ya")/5*100)</f>
        <v/>
      </c>
      <c r="N5" s="31" t="str">
        <f>IF(COUNTA(N6:N10)=0,"",COUNTIF(N6:N10,"Ya")/5*100)</f>
        <v/>
      </c>
      <c r="O5" s="31" t="str">
        <f>IF(COUNTA(O6:O10)=0,"",COUNTIF(O6:O10,"Ya")/5*100)</f>
        <v/>
      </c>
      <c r="P5" s="31" t="str">
        <f>IF(COUNTA(P6:P10)=0,"",COUNTIF(P6:P10,"Ya")/5*100)</f>
        <v/>
      </c>
      <c r="Q5" s="31" t="str">
        <f>IF(COUNTA(Q6:Q10)=0,"",COUNTIF(Q6:Q10,"Ya")/5*100)</f>
        <v/>
      </c>
      <c r="R5" s="31" t="str">
        <f>IF(COUNTA(R6:R10)=0,"",COUNTIF(R6:R10,"Ya")/5*100)</f>
        <v/>
      </c>
      <c r="S5" s="31" t="str">
        <f>IF(COUNTA(S6:S10)=0,"",COUNTIF(S6:S10,"Ya")/5*100)</f>
        <v/>
      </c>
      <c r="T5" s="31" t="str">
        <f>IF(COUNTA(T6:T10)=0,"",COUNTIF(T6:T10,"Ya")/5*100)</f>
        <v/>
      </c>
      <c r="U5" s="31" t="str">
        <f>IF(COUNTA(U6:U10)=0,"",COUNTIF(U6:U10,"Ya")/5*100)</f>
        <v/>
      </c>
      <c r="V5" s="31" t="str">
        <f>IF(COUNTA(V6:V10)=0,"",COUNTIF(V6:V10,"Ya")/5*100)</f>
        <v/>
      </c>
      <c r="W5" s="31" t="str">
        <f>IF(COUNTA(W6:W10)=0,"",COUNTIF(W6:W10,"Ya")/5*100)</f>
        <v/>
      </c>
      <c r="X5" s="31" t="str">
        <f>IF(COUNTA(X6:X10)=0,"",COUNTIF(X6:X10,"Ya")/5*100)</f>
        <v/>
      </c>
      <c r="Y5" s="31" t="str">
        <f>IF(COUNTA(Y6:Y10)=0,"",COUNTIF(Y6:Y10,"Ya")/5*100)</f>
        <v/>
      </c>
      <c r="Z5" s="31" t="str">
        <f>_xlfn.IFERROR(AVERAGE(E5:Y5),"")</f>
        <v/>
      </c>
    </row>
    <row r="6" spans="8:8" ht="25.0" customHeight="1">
      <c r="A6" s="32"/>
      <c r="B6" s="33" t="s">
        <v>811</v>
      </c>
      <c r="C6" s="34" t="s">
        <v>1203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8:8" ht="25.0" customHeight="1">
      <c r="A7" s="32"/>
      <c r="B7" s="33" t="s">
        <v>813</v>
      </c>
      <c r="C7" s="34" t="s">
        <v>1204</v>
      </c>
      <c r="D7" s="3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8:8" ht="25.0" customHeight="1">
      <c r="A8" s="32"/>
      <c r="B8" s="33" t="s">
        <v>815</v>
      </c>
      <c r="C8" s="34" t="s">
        <v>1205</v>
      </c>
      <c r="D8" s="32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8:8" ht="25.0" customHeight="1">
      <c r="A9" s="32"/>
      <c r="B9" s="33" t="s">
        <v>817</v>
      </c>
      <c r="C9" s="34" t="s">
        <v>1206</v>
      </c>
      <c r="D9" s="32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8:8" ht="25.0" customHeight="1">
      <c r="A10" s="32"/>
      <c r="B10" s="33" t="s">
        <v>819</v>
      </c>
      <c r="C10" s="34" t="s">
        <v>1207</v>
      </c>
      <c r="D10" s="32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8:8" ht="40.0" customHeight="1">
      <c r="A11" s="28"/>
      <c r="B11" s="29" t="s">
        <v>821</v>
      </c>
      <c r="C11" s="30" t="s">
        <v>1155</v>
      </c>
      <c r="D11" s="29">
        <v>7.0</v>
      </c>
      <c r="E11" s="31" t="str">
        <f>IF(COUNTA(E12:E16)=0,"",COUNTIF(E12:E16,"Ya")/5*100)</f>
        <v/>
      </c>
      <c r="F11" s="31" t="str">
        <f>IF(COUNTA(F12:F16)=0,"",COUNTIF(F12:F16,"Ya")/5*100)</f>
        <v/>
      </c>
      <c r="G11" s="31" t="str">
        <f>IF(COUNTA(G12:G16)=0,"",COUNTIF(G12:G16,"Ya")/5*100)</f>
        <v/>
      </c>
      <c r="H11" s="31" t="str">
        <f>IF(COUNTA(H12:H16)=0,"",COUNTIF(H12:H16,"Ya")/5*100)</f>
        <v/>
      </c>
      <c r="I11" s="31" t="str">
        <f>IF(COUNTA(I12:I16)=0,"",COUNTIF(I12:I16,"Ya")/5*100)</f>
        <v/>
      </c>
      <c r="J11" s="31" t="str">
        <f>IF(COUNTA(J12:J16)=0,"",COUNTIF(J12:J16,"Ya")/5*100)</f>
        <v/>
      </c>
      <c r="K11" s="31" t="str">
        <f>IF(COUNTA(K12:K16)=0,"",COUNTIF(K12:K16,"Ya")/5*100)</f>
        <v/>
      </c>
      <c r="L11" s="31" t="str">
        <f>IF(COUNTA(L12:L16)=0,"",COUNTIF(L12:L16,"Ya")/5*100)</f>
        <v/>
      </c>
      <c r="M11" s="31" t="str">
        <f>IF(COUNTA(M12:M16)=0,"",COUNTIF(M12:M16,"Ya")/5*100)</f>
        <v/>
      </c>
      <c r="N11" s="31" t="str">
        <f>IF(COUNTA(N12:N16)=0,"",COUNTIF(N12:N16,"Ya")/5*100)</f>
        <v/>
      </c>
      <c r="O11" s="31" t="str">
        <f>IF(COUNTA(O12:O16)=0,"",COUNTIF(O12:O16,"Ya")/5*100)</f>
        <v/>
      </c>
      <c r="P11" s="31" t="str">
        <f>IF(COUNTA(P12:P16)=0,"",COUNTIF(P12:P16,"Ya")/5*100)</f>
        <v/>
      </c>
      <c r="Q11" s="31" t="str">
        <f>IF(COUNTA(Q12:Q16)=0,"",COUNTIF(Q12:Q16,"Ya")/5*100)</f>
        <v/>
      </c>
      <c r="R11" s="31" t="str">
        <f>IF(COUNTA(R12:R16)=0,"",COUNTIF(R12:R16,"Ya")/5*100)</f>
        <v/>
      </c>
      <c r="S11" s="31" t="str">
        <f>IF(COUNTA(S12:S16)=0,"",COUNTIF(S12:S16,"Ya")/5*100)</f>
        <v/>
      </c>
      <c r="T11" s="31" t="str">
        <f>IF(COUNTA(T12:T16)=0,"",COUNTIF(T12:T16,"Ya")/5*100)</f>
        <v/>
      </c>
      <c r="U11" s="31" t="str">
        <f>IF(COUNTA(U12:U16)=0,"",COUNTIF(U12:U16,"Ya")/5*100)</f>
        <v/>
      </c>
      <c r="V11" s="31" t="str">
        <f>IF(COUNTA(V12:V16)=0,"",COUNTIF(V12:V16,"Ya")/5*100)</f>
        <v/>
      </c>
      <c r="W11" s="31" t="str">
        <f>IF(COUNTA(W12:W16)=0,"",COUNTIF(W12:W16,"Ya")/5*100)</f>
        <v/>
      </c>
      <c r="X11" s="31" t="str">
        <f>IF(COUNTA(X12:X16)=0,"",COUNTIF(X12:X16,"Ya")/5*100)</f>
        <v/>
      </c>
      <c r="Y11" s="31" t="str">
        <f>IF(COUNTA(Y12:Y16)=0,"",COUNTIF(Y12:Y16,"Ya")/5*100)</f>
        <v/>
      </c>
      <c r="Z11" s="31" t="str">
        <f>_xlfn.IFERROR(AVERAGE(E11:Y11),"")</f>
        <v/>
      </c>
    </row>
    <row r="12" spans="8:8" ht="25.0" customHeight="1">
      <c r="A12" s="32"/>
      <c r="B12" s="33" t="s">
        <v>823</v>
      </c>
      <c r="C12" s="34" t="s">
        <v>1208</v>
      </c>
      <c r="D12" s="32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8:8" ht="25.0" customHeight="1">
      <c r="A13" s="32"/>
      <c r="B13" s="33" t="s">
        <v>825</v>
      </c>
      <c r="C13" s="34" t="s">
        <v>1209</v>
      </c>
      <c r="D13" s="32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8:8" ht="25.0" customHeight="1">
      <c r="A14" s="32"/>
      <c r="B14" s="33" t="s">
        <v>827</v>
      </c>
      <c r="C14" s="34" t="s">
        <v>1210</v>
      </c>
      <c r="D14" s="32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8:8" ht="25.0" customHeight="1">
      <c r="A15" s="32"/>
      <c r="B15" s="33" t="s">
        <v>829</v>
      </c>
      <c r="C15" s="34" t="s">
        <v>1211</v>
      </c>
      <c r="D15" s="32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8:8" ht="25.0" customHeight="1">
      <c r="A16" s="32"/>
      <c r="B16" s="33" t="s">
        <v>831</v>
      </c>
      <c r="C16" s="34" t="s">
        <v>1212</v>
      </c>
      <c r="D16" s="32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8:8" ht="40.0" customHeight="1">
      <c r="A17" s="28"/>
      <c r="B17" s="29" t="s">
        <v>833</v>
      </c>
      <c r="C17" s="30" t="s">
        <v>1156</v>
      </c>
      <c r="D17" s="29">
        <v>6.0</v>
      </c>
      <c r="E17" s="31" t="str">
        <f>IF(COUNTA(E18:E22)=0,"",COUNTIF(E18:E22,"Ya")/5*100)</f>
        <v/>
      </c>
      <c r="F17" s="31" t="str">
        <f>IF(COUNTA(F18:F22)=0,"",COUNTIF(F18:F22,"Ya")/5*100)</f>
        <v/>
      </c>
      <c r="G17" s="31" t="str">
        <f>IF(COUNTA(G18:G22)=0,"",COUNTIF(G18:G22,"Ya")/5*100)</f>
        <v/>
      </c>
      <c r="H17" s="31" t="str">
        <f>IF(COUNTA(H18:H22)=0,"",COUNTIF(H18:H22,"Ya")/5*100)</f>
        <v/>
      </c>
      <c r="I17" s="31" t="str">
        <f>IF(COUNTA(I18:I22)=0,"",COUNTIF(I18:I22,"Ya")/5*100)</f>
        <v/>
      </c>
      <c r="J17" s="31" t="str">
        <f>IF(COUNTA(J18:J22)=0,"",COUNTIF(J18:J22,"Ya")/5*100)</f>
        <v/>
      </c>
      <c r="K17" s="31" t="str">
        <f>IF(COUNTA(K18:K22)=0,"",COUNTIF(K18:K22,"Ya")/5*100)</f>
        <v/>
      </c>
      <c r="L17" s="31" t="str">
        <f>IF(COUNTA(L18:L22)=0,"",COUNTIF(L18:L22,"Ya")/5*100)</f>
        <v/>
      </c>
      <c r="M17" s="31" t="str">
        <f>IF(COUNTA(M18:M22)=0,"",COUNTIF(M18:M22,"Ya")/5*100)</f>
        <v/>
      </c>
      <c r="N17" s="31" t="str">
        <f>IF(COUNTA(N18:N22)=0,"",COUNTIF(N18:N22,"Ya")/5*100)</f>
        <v/>
      </c>
      <c r="O17" s="31" t="str">
        <f>IF(COUNTA(O18:O22)=0,"",COUNTIF(O18:O22,"Ya")/5*100)</f>
        <v/>
      </c>
      <c r="P17" s="31" t="str">
        <f>IF(COUNTA(P18:P22)=0,"",COUNTIF(P18:P22,"Ya")/5*100)</f>
        <v/>
      </c>
      <c r="Q17" s="31" t="str">
        <f>IF(COUNTA(Q18:Q22)=0,"",COUNTIF(Q18:Q22,"Ya")/5*100)</f>
        <v/>
      </c>
      <c r="R17" s="31" t="str">
        <f>IF(COUNTA(R18:R22)=0,"",COUNTIF(R18:R22,"Ya")/5*100)</f>
        <v/>
      </c>
      <c r="S17" s="31" t="str">
        <f>IF(COUNTA(S18:S22)=0,"",COUNTIF(S18:S22,"Ya")/5*100)</f>
        <v/>
      </c>
      <c r="T17" s="31" t="str">
        <f>IF(COUNTA(T18:T22)=0,"",COUNTIF(T18:T22,"Ya")/5*100)</f>
        <v/>
      </c>
      <c r="U17" s="31" t="str">
        <f>IF(COUNTA(U18:U22)=0,"",COUNTIF(U18:U22,"Ya")/5*100)</f>
        <v/>
      </c>
      <c r="V17" s="31" t="str">
        <f>IF(COUNTA(V18:V22)=0,"",COUNTIF(V18:V22,"Ya")/5*100)</f>
        <v/>
      </c>
      <c r="W17" s="31" t="str">
        <f>IF(COUNTA(W18:W22)=0,"",COUNTIF(W18:W22,"Ya")/5*100)</f>
        <v/>
      </c>
      <c r="X17" s="31" t="str">
        <f>IF(COUNTA(X18:X22)=0,"",COUNTIF(X18:X22,"Ya")/5*100)</f>
        <v/>
      </c>
      <c r="Y17" s="31" t="str">
        <f>IF(COUNTA(Y18:Y22)=0,"",COUNTIF(Y18:Y22,"Ya")/5*100)</f>
        <v/>
      </c>
      <c r="Z17" s="31" t="str">
        <f>_xlfn.IFERROR(AVERAGE(E17:Y17),"")</f>
        <v/>
      </c>
    </row>
    <row r="18" spans="8:8" ht="25.0" customHeight="1">
      <c r="A18" s="32"/>
      <c r="B18" s="33" t="s">
        <v>835</v>
      </c>
      <c r="C18" s="34" t="s">
        <v>1213</v>
      </c>
      <c r="D18" s="32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8:8" ht="25.0" customHeight="1">
      <c r="A19" s="32"/>
      <c r="B19" s="33" t="s">
        <v>837</v>
      </c>
      <c r="C19" s="34" t="s">
        <v>1214</v>
      </c>
      <c r="D19" s="32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8:8" ht="25.0" customHeight="1">
      <c r="A20" s="32"/>
      <c r="B20" s="33" t="s">
        <v>839</v>
      </c>
      <c r="C20" s="34" t="s">
        <v>1215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8:8" ht="25.0" customHeight="1">
      <c r="A21" s="32"/>
      <c r="B21" s="33" t="s">
        <v>841</v>
      </c>
      <c r="C21" s="34" t="s">
        <v>1216</v>
      </c>
      <c r="D21" s="32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8:8" ht="25.0" customHeight="1">
      <c r="A22" s="32"/>
      <c r="B22" s="33" t="s">
        <v>843</v>
      </c>
      <c r="C22" s="34" t="s">
        <v>1217</v>
      </c>
      <c r="D22" s="32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8:8" ht="28.0" customHeight="1">
      <c r="A23" s="28"/>
      <c r="B23" s="29" t="s">
        <v>845</v>
      </c>
      <c r="C23" s="30" t="s">
        <v>1157</v>
      </c>
      <c r="D23" s="29">
        <v>7.0</v>
      </c>
      <c r="E23" s="31" t="str">
        <f>IF(COUNTA(E24:E28)=0,"",COUNTIF(E24:E28,"Ya")/5*100)</f>
        <v/>
      </c>
      <c r="F23" s="31" t="str">
        <f>IF(COUNTA(F24:F28)=0,"",COUNTIF(F24:F28,"Ya")/5*100)</f>
        <v/>
      </c>
      <c r="G23" s="31" t="str">
        <f>IF(COUNTA(G24:G28)=0,"",COUNTIF(G24:G28,"Ya")/5*100)</f>
        <v/>
      </c>
      <c r="H23" s="31" t="str">
        <f>IF(COUNTA(H24:H28)=0,"",COUNTIF(H24:H28,"Ya")/5*100)</f>
        <v/>
      </c>
      <c r="I23" s="31" t="str">
        <f>IF(COUNTA(I24:I28)=0,"",COUNTIF(I24:I28,"Ya")/5*100)</f>
        <v/>
      </c>
      <c r="J23" s="31" t="str">
        <f>IF(COUNTA(J24:J28)=0,"",COUNTIF(J24:J28,"Ya")/5*100)</f>
        <v/>
      </c>
      <c r="K23" s="31" t="str">
        <f>IF(COUNTA(K24:K28)=0,"",COUNTIF(K24:K28,"Ya")/5*100)</f>
        <v/>
      </c>
      <c r="L23" s="31" t="str">
        <f>IF(COUNTA(L24:L28)=0,"",COUNTIF(L24:L28,"Ya")/5*100)</f>
        <v/>
      </c>
      <c r="M23" s="31" t="str">
        <f>IF(COUNTA(M24:M28)=0,"",COUNTIF(M24:M28,"Ya")/5*100)</f>
        <v/>
      </c>
      <c r="N23" s="31" t="str">
        <f>IF(COUNTA(N24:N28)=0,"",COUNTIF(N24:N28,"Ya")/5*100)</f>
        <v/>
      </c>
      <c r="O23" s="31" t="str">
        <f>IF(COUNTA(O24:O28)=0,"",COUNTIF(O24:O28,"Ya")/5*100)</f>
        <v/>
      </c>
      <c r="P23" s="31" t="str">
        <f>IF(COUNTA(P24:P28)=0,"",COUNTIF(P24:P28,"Ya")/5*100)</f>
        <v/>
      </c>
      <c r="Q23" s="31" t="str">
        <f>IF(COUNTA(Q24:Q28)=0,"",COUNTIF(Q24:Q28,"Ya")/5*100)</f>
        <v/>
      </c>
      <c r="R23" s="31" t="str">
        <f>IF(COUNTA(R24:R28)=0,"",COUNTIF(R24:R28,"Ya")/5*100)</f>
        <v/>
      </c>
      <c r="S23" s="31" t="str">
        <f>IF(COUNTA(S24:S28)=0,"",COUNTIF(S24:S28,"Ya")/5*100)</f>
        <v/>
      </c>
      <c r="T23" s="31" t="str">
        <f>IF(COUNTA(T24:T28)=0,"",COUNTIF(T24:T28,"Ya")/5*100)</f>
        <v/>
      </c>
      <c r="U23" s="31" t="str">
        <f>IF(COUNTA(U24:U28)=0,"",COUNTIF(U24:U28,"Ya")/5*100)</f>
        <v/>
      </c>
      <c r="V23" s="31" t="str">
        <f>IF(COUNTA(V24:V28)=0,"",COUNTIF(V24:V28,"Ya")/5*100)</f>
        <v/>
      </c>
      <c r="W23" s="31" t="str">
        <f>IF(COUNTA(W24:W28)=0,"",COUNTIF(W24:W28,"Ya")/5*100)</f>
        <v/>
      </c>
      <c r="X23" s="31" t="str">
        <f>IF(COUNTA(X24:X28)=0,"",COUNTIF(X24:X28,"Ya")/5*100)</f>
        <v/>
      </c>
      <c r="Y23" s="31" t="str">
        <f>IF(COUNTA(Y24:Y28)=0,"",COUNTIF(Y24:Y28,"Ya")/5*100)</f>
        <v/>
      </c>
      <c r="Z23" s="31" t="str">
        <f>_xlfn.IFERROR(AVERAGE(E23:Y23),"")</f>
        <v/>
      </c>
    </row>
    <row r="24" spans="8:8" ht="25.0" customHeight="1">
      <c r="A24" s="32"/>
      <c r="B24" s="33" t="s">
        <v>847</v>
      </c>
      <c r="C24" s="34" t="s">
        <v>1218</v>
      </c>
      <c r="D24" s="32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8:8" ht="25.0" customHeight="1">
      <c r="A25" s="32"/>
      <c r="B25" s="33" t="s">
        <v>849</v>
      </c>
      <c r="C25" s="34" t="s">
        <v>1219</v>
      </c>
      <c r="D25" s="32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8:8" ht="25.0" customHeight="1">
      <c r="A26" s="32"/>
      <c r="B26" s="33" t="s">
        <v>851</v>
      </c>
      <c r="C26" s="34" t="s">
        <v>1220</v>
      </c>
      <c r="D26" s="32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8:8" ht="25.0" customHeight="1">
      <c r="A27" s="32"/>
      <c r="B27" s="33" t="s">
        <v>853</v>
      </c>
      <c r="C27" s="34" t="s">
        <v>1221</v>
      </c>
      <c r="D27" s="32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8:8" ht="25.0" customHeight="1">
      <c r="A28" s="32"/>
      <c r="B28" s="33" t="s">
        <v>855</v>
      </c>
      <c r="C28" s="34" t="s">
        <v>1222</v>
      </c>
      <c r="D28" s="32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8:8" ht="28.0" customHeight="1">
      <c r="A29" s="28"/>
      <c r="B29" s="29" t="s">
        <v>857</v>
      </c>
      <c r="C29" s="30" t="s">
        <v>1158</v>
      </c>
      <c r="D29" s="29">
        <v>6.0</v>
      </c>
      <c r="E29" s="31" t="str">
        <f>IF(COUNTA(E30:E34)=0,"",COUNTIF(E30:E34,"Ya")/5*100)</f>
        <v/>
      </c>
      <c r="F29" s="31" t="str">
        <f>IF(COUNTA(F30:F34)=0,"",COUNTIF(F30:F34,"Ya")/5*100)</f>
        <v/>
      </c>
      <c r="G29" s="31" t="str">
        <f>IF(COUNTA(G30:G34)=0,"",COUNTIF(G30:G34,"Ya")/5*100)</f>
        <v/>
      </c>
      <c r="H29" s="31" t="str">
        <f>IF(COUNTA(H30:H34)=0,"",COUNTIF(H30:H34,"Ya")/5*100)</f>
        <v/>
      </c>
      <c r="I29" s="31" t="str">
        <f>IF(COUNTA(I30:I34)=0,"",COUNTIF(I30:I34,"Ya")/5*100)</f>
        <v/>
      </c>
      <c r="J29" s="31" t="str">
        <f>IF(COUNTA(J30:J34)=0,"",COUNTIF(J30:J34,"Ya")/5*100)</f>
        <v/>
      </c>
      <c r="K29" s="31" t="str">
        <f>IF(COUNTA(K30:K34)=0,"",COUNTIF(K30:K34,"Ya")/5*100)</f>
        <v/>
      </c>
      <c r="L29" s="31" t="str">
        <f>IF(COUNTA(L30:L34)=0,"",COUNTIF(L30:L34,"Ya")/5*100)</f>
        <v/>
      </c>
      <c r="M29" s="31" t="str">
        <f>IF(COUNTA(M30:M34)=0,"",COUNTIF(M30:M34,"Ya")/5*100)</f>
        <v/>
      </c>
      <c r="N29" s="31" t="str">
        <f>IF(COUNTA(N30:N34)=0,"",COUNTIF(N30:N34,"Ya")/5*100)</f>
        <v/>
      </c>
      <c r="O29" s="31" t="str">
        <f>IF(COUNTA(O30:O34)=0,"",COUNTIF(O30:O34,"Ya")/5*100)</f>
        <v/>
      </c>
      <c r="P29" s="31" t="str">
        <f>IF(COUNTA(P30:P34)=0,"",COUNTIF(P30:P34,"Ya")/5*100)</f>
        <v/>
      </c>
      <c r="Q29" s="31" t="str">
        <f>IF(COUNTA(Q30:Q34)=0,"",COUNTIF(Q30:Q34,"Ya")/5*100)</f>
        <v/>
      </c>
      <c r="R29" s="31" t="str">
        <f>IF(COUNTA(R30:R34)=0,"",COUNTIF(R30:R34,"Ya")/5*100)</f>
        <v/>
      </c>
      <c r="S29" s="31" t="str">
        <f>IF(COUNTA(S30:S34)=0,"",COUNTIF(S30:S34,"Ya")/5*100)</f>
        <v/>
      </c>
      <c r="T29" s="31" t="str">
        <f>IF(COUNTA(T30:T34)=0,"",COUNTIF(T30:T34,"Ya")/5*100)</f>
        <v/>
      </c>
      <c r="U29" s="31" t="str">
        <f>IF(COUNTA(U30:U34)=0,"",COUNTIF(U30:U34,"Ya")/5*100)</f>
        <v/>
      </c>
      <c r="V29" s="31" t="str">
        <f>IF(COUNTA(V30:V34)=0,"",COUNTIF(V30:V34,"Ya")/5*100)</f>
        <v/>
      </c>
      <c r="W29" s="31" t="str">
        <f>IF(COUNTA(W30:W34)=0,"",COUNTIF(W30:W34,"Ya")/5*100)</f>
        <v/>
      </c>
      <c r="X29" s="31" t="str">
        <f>IF(COUNTA(X30:X34)=0,"",COUNTIF(X30:X34,"Ya")/5*100)</f>
        <v/>
      </c>
      <c r="Y29" s="31" t="str">
        <f>IF(COUNTA(Y30:Y34)=0,"",COUNTIF(Y30:Y34,"Ya")/5*100)</f>
        <v/>
      </c>
      <c r="Z29" s="31" t="str">
        <f>_xlfn.IFERROR(AVERAGE(E29:Y29),"")</f>
        <v/>
      </c>
    </row>
    <row r="30" spans="8:8" ht="25.0" customHeight="1">
      <c r="A30" s="32"/>
      <c r="B30" s="33" t="s">
        <v>859</v>
      </c>
      <c r="C30" s="34" t="s">
        <v>1223</v>
      </c>
      <c r="D30" s="32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8:8" ht="25.0" customHeight="1">
      <c r="A31" s="32"/>
      <c r="B31" s="33" t="s">
        <v>861</v>
      </c>
      <c r="C31" s="34" t="s">
        <v>1224</v>
      </c>
      <c r="D31" s="32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spans="8:8" ht="25.0" customHeight="1">
      <c r="A32" s="32"/>
      <c r="B32" s="33" t="s">
        <v>863</v>
      </c>
      <c r="C32" s="34" t="s">
        <v>1225</v>
      </c>
      <c r="D32" s="32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8:8" ht="25.0" customHeight="1">
      <c r="A33" s="32"/>
      <c r="B33" s="33" t="s">
        <v>865</v>
      </c>
      <c r="C33" s="34" t="s">
        <v>1226</v>
      </c>
      <c r="D33" s="32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8:8" ht="25.0" customHeight="1">
      <c r="A34" s="32"/>
      <c r="B34" s="33" t="s">
        <v>867</v>
      </c>
      <c r="C34" s="34" t="s">
        <v>1227</v>
      </c>
      <c r="D34" s="32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8:8" ht="18.0" customHeight="1">
      <c r="A35" s="36"/>
      <c r="B35" s="36"/>
      <c r="C35" s="37" t="s">
        <v>1228</v>
      </c>
      <c r="D35" s="38">
        <v>33.0</v>
      </c>
      <c r="E35" s="39" t="str">
        <f>IF((IF(ISNUMBER(E5),7,0)+IF(ISNUMBER(E11),7,0)+IF(ISNUMBER(E17),6,0)+IF(ISNUMBER(E23),7,0)+IF(ISNUMBER(E29),6,0))=0,"",(IF(ISNUMBER(E5),E5*7,0)+IF(ISNUMBER(E11),E11*7,0)+IF(ISNUMBER(E17),E17*6,0)+IF(ISNUMBER(E23),E23*7,0)+IF(ISNUMBER(E29),E29*6,0))/(IF(ISNUMBER(E5),7,0)+IF(ISNUMBER(E11),7,0)+IF(ISNUMBER(E17),6,0)+IF(ISNUMBER(E23),7,0)+IF(ISNUMBER(E29),6,0)))</f>
        <v/>
      </c>
      <c r="F35" s="39" t="str">
        <f>IF((IF(ISNUMBER(F5),7,0)+IF(ISNUMBER(F11),7,0)+IF(ISNUMBER(F17),6,0)+IF(ISNUMBER(F23),7,0)+IF(ISNUMBER(F29),6,0))=0,"",(IF(ISNUMBER(F5),F5*7,0)+IF(ISNUMBER(F11),F11*7,0)+IF(ISNUMBER(F17),F17*6,0)+IF(ISNUMBER(F23),F23*7,0)+IF(ISNUMBER(F29),F29*6,0))/(IF(ISNUMBER(F5),7,0)+IF(ISNUMBER(F11),7,0)+IF(ISNUMBER(F17),6,0)+IF(ISNUMBER(F23),7,0)+IF(ISNUMBER(F29),6,0)))</f>
        <v/>
      </c>
      <c r="G35" s="39" t="str">
        <f>IF((IF(ISNUMBER(G5),7,0)+IF(ISNUMBER(G11),7,0)+IF(ISNUMBER(G17),6,0)+IF(ISNUMBER(G23),7,0)+IF(ISNUMBER(G29),6,0))=0,"",(IF(ISNUMBER(G5),G5*7,0)+IF(ISNUMBER(G11),G11*7,0)+IF(ISNUMBER(G17),G17*6,0)+IF(ISNUMBER(G23),G23*7,0)+IF(ISNUMBER(G29),G29*6,0))/(IF(ISNUMBER(G5),7,0)+IF(ISNUMBER(G11),7,0)+IF(ISNUMBER(G17),6,0)+IF(ISNUMBER(G23),7,0)+IF(ISNUMBER(G29),6,0)))</f>
        <v/>
      </c>
      <c r="H35" s="39" t="str">
        <f>IF((IF(ISNUMBER(H5),7,0)+IF(ISNUMBER(H11),7,0)+IF(ISNUMBER(H17),6,0)+IF(ISNUMBER(H23),7,0)+IF(ISNUMBER(H29),6,0))=0,"",(IF(ISNUMBER(H5),H5*7,0)+IF(ISNUMBER(H11),H11*7,0)+IF(ISNUMBER(H17),H17*6,0)+IF(ISNUMBER(H23),H23*7,0)+IF(ISNUMBER(H29),H29*6,0))/(IF(ISNUMBER(H5),7,0)+IF(ISNUMBER(H11),7,0)+IF(ISNUMBER(H17),6,0)+IF(ISNUMBER(H23),7,0)+IF(ISNUMBER(H29),6,0)))</f>
        <v/>
      </c>
      <c r="I35" s="39" t="str">
        <f>IF((IF(ISNUMBER(I5),7,0)+IF(ISNUMBER(I11),7,0)+IF(ISNUMBER(I17),6,0)+IF(ISNUMBER(I23),7,0)+IF(ISNUMBER(I29),6,0))=0,"",(IF(ISNUMBER(I5),I5*7,0)+IF(ISNUMBER(I11),I11*7,0)+IF(ISNUMBER(I17),I17*6,0)+IF(ISNUMBER(I23),I23*7,0)+IF(ISNUMBER(I29),I29*6,0))/(IF(ISNUMBER(I5),7,0)+IF(ISNUMBER(I11),7,0)+IF(ISNUMBER(I17),6,0)+IF(ISNUMBER(I23),7,0)+IF(ISNUMBER(I29),6,0)))</f>
        <v/>
      </c>
      <c r="J35" s="39" t="str">
        <f>IF((IF(ISNUMBER(J5),7,0)+IF(ISNUMBER(J11),7,0)+IF(ISNUMBER(J17),6,0)+IF(ISNUMBER(J23),7,0)+IF(ISNUMBER(J29),6,0))=0,"",(IF(ISNUMBER(J5),J5*7,0)+IF(ISNUMBER(J11),J11*7,0)+IF(ISNUMBER(J17),J17*6,0)+IF(ISNUMBER(J23),J23*7,0)+IF(ISNUMBER(J29),J29*6,0))/(IF(ISNUMBER(J5),7,0)+IF(ISNUMBER(J11),7,0)+IF(ISNUMBER(J17),6,0)+IF(ISNUMBER(J23),7,0)+IF(ISNUMBER(J29),6,0)))</f>
        <v/>
      </c>
      <c r="K35" s="39" t="str">
        <f>IF((IF(ISNUMBER(K5),7,0)+IF(ISNUMBER(K11),7,0)+IF(ISNUMBER(K17),6,0)+IF(ISNUMBER(K23),7,0)+IF(ISNUMBER(K29),6,0))=0,"",(IF(ISNUMBER(K5),K5*7,0)+IF(ISNUMBER(K11),K11*7,0)+IF(ISNUMBER(K17),K17*6,0)+IF(ISNUMBER(K23),K23*7,0)+IF(ISNUMBER(K29),K29*6,0))/(IF(ISNUMBER(K5),7,0)+IF(ISNUMBER(K11),7,0)+IF(ISNUMBER(K17),6,0)+IF(ISNUMBER(K23),7,0)+IF(ISNUMBER(K29),6,0)))</f>
        <v/>
      </c>
      <c r="L35" s="39" t="str">
        <f>IF((IF(ISNUMBER(L5),7,0)+IF(ISNUMBER(L11),7,0)+IF(ISNUMBER(L17),6,0)+IF(ISNUMBER(L23),7,0)+IF(ISNUMBER(L29),6,0))=0,"",(IF(ISNUMBER(L5),L5*7,0)+IF(ISNUMBER(L11),L11*7,0)+IF(ISNUMBER(L17),L17*6,0)+IF(ISNUMBER(L23),L23*7,0)+IF(ISNUMBER(L29),L29*6,0))/(IF(ISNUMBER(L5),7,0)+IF(ISNUMBER(L11),7,0)+IF(ISNUMBER(L17),6,0)+IF(ISNUMBER(L23),7,0)+IF(ISNUMBER(L29),6,0)))</f>
        <v/>
      </c>
      <c r="M35" s="39" t="str">
        <f>IF((IF(ISNUMBER(M5),7,0)+IF(ISNUMBER(M11),7,0)+IF(ISNUMBER(M17),6,0)+IF(ISNUMBER(M23),7,0)+IF(ISNUMBER(M29),6,0))=0,"",(IF(ISNUMBER(M5),M5*7,0)+IF(ISNUMBER(M11),M11*7,0)+IF(ISNUMBER(M17),M17*6,0)+IF(ISNUMBER(M23),M23*7,0)+IF(ISNUMBER(M29),M29*6,0))/(IF(ISNUMBER(M5),7,0)+IF(ISNUMBER(M11),7,0)+IF(ISNUMBER(M17),6,0)+IF(ISNUMBER(M23),7,0)+IF(ISNUMBER(M29),6,0)))</f>
        <v/>
      </c>
      <c r="N35" s="39" t="str">
        <f>IF((IF(ISNUMBER(N5),7,0)+IF(ISNUMBER(N11),7,0)+IF(ISNUMBER(N17),6,0)+IF(ISNUMBER(N23),7,0)+IF(ISNUMBER(N29),6,0))=0,"",(IF(ISNUMBER(N5),N5*7,0)+IF(ISNUMBER(N11),N11*7,0)+IF(ISNUMBER(N17),N17*6,0)+IF(ISNUMBER(N23),N23*7,0)+IF(ISNUMBER(N29),N29*6,0))/(IF(ISNUMBER(N5),7,0)+IF(ISNUMBER(N11),7,0)+IF(ISNUMBER(N17),6,0)+IF(ISNUMBER(N23),7,0)+IF(ISNUMBER(N29),6,0)))</f>
        <v/>
      </c>
      <c r="O35" s="39" t="str">
        <f>IF((IF(ISNUMBER(O5),7,0)+IF(ISNUMBER(O11),7,0)+IF(ISNUMBER(O17),6,0)+IF(ISNUMBER(O23),7,0)+IF(ISNUMBER(O29),6,0))=0,"",(IF(ISNUMBER(O5),O5*7,0)+IF(ISNUMBER(O11),O11*7,0)+IF(ISNUMBER(O17),O17*6,0)+IF(ISNUMBER(O23),O23*7,0)+IF(ISNUMBER(O29),O29*6,0))/(IF(ISNUMBER(O5),7,0)+IF(ISNUMBER(O11),7,0)+IF(ISNUMBER(O17),6,0)+IF(ISNUMBER(O23),7,0)+IF(ISNUMBER(O29),6,0)))</f>
        <v/>
      </c>
      <c r="P35" s="39" t="str">
        <f>IF((IF(ISNUMBER(P5),7,0)+IF(ISNUMBER(P11),7,0)+IF(ISNUMBER(P17),6,0)+IF(ISNUMBER(P23),7,0)+IF(ISNUMBER(P29),6,0))=0,"",(IF(ISNUMBER(P5),P5*7,0)+IF(ISNUMBER(P11),P11*7,0)+IF(ISNUMBER(P17),P17*6,0)+IF(ISNUMBER(P23),P23*7,0)+IF(ISNUMBER(P29),P29*6,0))/(IF(ISNUMBER(P5),7,0)+IF(ISNUMBER(P11),7,0)+IF(ISNUMBER(P17),6,0)+IF(ISNUMBER(P23),7,0)+IF(ISNUMBER(P29),6,0)))</f>
        <v/>
      </c>
      <c r="Q35" s="39" t="str">
        <f>IF((IF(ISNUMBER(Q5),7,0)+IF(ISNUMBER(Q11),7,0)+IF(ISNUMBER(Q17),6,0)+IF(ISNUMBER(Q23),7,0)+IF(ISNUMBER(Q29),6,0))=0,"",(IF(ISNUMBER(Q5),Q5*7,0)+IF(ISNUMBER(Q11),Q11*7,0)+IF(ISNUMBER(Q17),Q17*6,0)+IF(ISNUMBER(Q23),Q23*7,0)+IF(ISNUMBER(Q29),Q29*6,0))/(IF(ISNUMBER(Q5),7,0)+IF(ISNUMBER(Q11),7,0)+IF(ISNUMBER(Q17),6,0)+IF(ISNUMBER(Q23),7,0)+IF(ISNUMBER(Q29),6,0)))</f>
        <v/>
      </c>
      <c r="R35" s="39" t="str">
        <f>IF((IF(ISNUMBER(R5),7,0)+IF(ISNUMBER(R11),7,0)+IF(ISNUMBER(R17),6,0)+IF(ISNUMBER(R23),7,0)+IF(ISNUMBER(R29),6,0))=0,"",(IF(ISNUMBER(R5),R5*7,0)+IF(ISNUMBER(R11),R11*7,0)+IF(ISNUMBER(R17),R17*6,0)+IF(ISNUMBER(R23),R23*7,0)+IF(ISNUMBER(R29),R29*6,0))/(IF(ISNUMBER(R5),7,0)+IF(ISNUMBER(R11),7,0)+IF(ISNUMBER(R17),6,0)+IF(ISNUMBER(R23),7,0)+IF(ISNUMBER(R29),6,0)))</f>
        <v/>
      </c>
      <c r="S35" s="39" t="str">
        <f>IF((IF(ISNUMBER(S5),7,0)+IF(ISNUMBER(S11),7,0)+IF(ISNUMBER(S17),6,0)+IF(ISNUMBER(S23),7,0)+IF(ISNUMBER(S29),6,0))=0,"",(IF(ISNUMBER(S5),S5*7,0)+IF(ISNUMBER(S11),S11*7,0)+IF(ISNUMBER(S17),S17*6,0)+IF(ISNUMBER(S23),S23*7,0)+IF(ISNUMBER(S29),S29*6,0))/(IF(ISNUMBER(S5),7,0)+IF(ISNUMBER(S11),7,0)+IF(ISNUMBER(S17),6,0)+IF(ISNUMBER(S23),7,0)+IF(ISNUMBER(S29),6,0)))</f>
        <v/>
      </c>
      <c r="T35" s="39" t="str">
        <f>IF((IF(ISNUMBER(T5),7,0)+IF(ISNUMBER(T11),7,0)+IF(ISNUMBER(T17),6,0)+IF(ISNUMBER(T23),7,0)+IF(ISNUMBER(T29),6,0))=0,"",(IF(ISNUMBER(T5),T5*7,0)+IF(ISNUMBER(T11),T11*7,0)+IF(ISNUMBER(T17),T17*6,0)+IF(ISNUMBER(T23),T23*7,0)+IF(ISNUMBER(T29),T29*6,0))/(IF(ISNUMBER(T5),7,0)+IF(ISNUMBER(T11),7,0)+IF(ISNUMBER(T17),6,0)+IF(ISNUMBER(T23),7,0)+IF(ISNUMBER(T29),6,0)))</f>
        <v/>
      </c>
      <c r="U35" s="39" t="str">
        <f>IF((IF(ISNUMBER(U5),7,0)+IF(ISNUMBER(U11),7,0)+IF(ISNUMBER(U17),6,0)+IF(ISNUMBER(U23),7,0)+IF(ISNUMBER(U29),6,0))=0,"",(IF(ISNUMBER(U5),U5*7,0)+IF(ISNUMBER(U11),U11*7,0)+IF(ISNUMBER(U17),U17*6,0)+IF(ISNUMBER(U23),U23*7,0)+IF(ISNUMBER(U29),U29*6,0))/(IF(ISNUMBER(U5),7,0)+IF(ISNUMBER(U11),7,0)+IF(ISNUMBER(U17),6,0)+IF(ISNUMBER(U23),7,0)+IF(ISNUMBER(U29),6,0)))</f>
        <v/>
      </c>
      <c r="V35" s="39" t="str">
        <f>IF((IF(ISNUMBER(V5),7,0)+IF(ISNUMBER(V11),7,0)+IF(ISNUMBER(V17),6,0)+IF(ISNUMBER(V23),7,0)+IF(ISNUMBER(V29),6,0))=0,"",(IF(ISNUMBER(V5),V5*7,0)+IF(ISNUMBER(V11),V11*7,0)+IF(ISNUMBER(V17),V17*6,0)+IF(ISNUMBER(V23),V23*7,0)+IF(ISNUMBER(V29),V29*6,0))/(IF(ISNUMBER(V5),7,0)+IF(ISNUMBER(V11),7,0)+IF(ISNUMBER(V17),6,0)+IF(ISNUMBER(V23),7,0)+IF(ISNUMBER(V29),6,0)))</f>
        <v/>
      </c>
      <c r="W35" s="39" t="str">
        <f>IF((IF(ISNUMBER(W5),7,0)+IF(ISNUMBER(W11),7,0)+IF(ISNUMBER(W17),6,0)+IF(ISNUMBER(W23),7,0)+IF(ISNUMBER(W29),6,0))=0,"",(IF(ISNUMBER(W5),W5*7,0)+IF(ISNUMBER(W11),W11*7,0)+IF(ISNUMBER(W17),W17*6,0)+IF(ISNUMBER(W23),W23*7,0)+IF(ISNUMBER(W29),W29*6,0))/(IF(ISNUMBER(W5),7,0)+IF(ISNUMBER(W11),7,0)+IF(ISNUMBER(W17),6,0)+IF(ISNUMBER(W23),7,0)+IF(ISNUMBER(W29),6,0)))</f>
        <v/>
      </c>
      <c r="X35" s="39" t="str">
        <f>IF((IF(ISNUMBER(X5),7,0)+IF(ISNUMBER(X11),7,0)+IF(ISNUMBER(X17),6,0)+IF(ISNUMBER(X23),7,0)+IF(ISNUMBER(X29),6,0))=0,"",(IF(ISNUMBER(X5),X5*7,0)+IF(ISNUMBER(X11),X11*7,0)+IF(ISNUMBER(X17),X17*6,0)+IF(ISNUMBER(X23),X23*7,0)+IF(ISNUMBER(X29),X29*6,0))/(IF(ISNUMBER(X5),7,0)+IF(ISNUMBER(X11),7,0)+IF(ISNUMBER(X17),6,0)+IF(ISNUMBER(X23),7,0)+IF(ISNUMBER(X29),6,0)))</f>
        <v/>
      </c>
      <c r="Y35" s="39" t="str">
        <f>IF((IF(ISNUMBER(Y5),7,0)+IF(ISNUMBER(Y11),7,0)+IF(ISNUMBER(Y17),6,0)+IF(ISNUMBER(Y23),7,0)+IF(ISNUMBER(Y29),6,0))=0,"",(IF(ISNUMBER(Y5),Y5*7,0)+IF(ISNUMBER(Y11),Y11*7,0)+IF(ISNUMBER(Y17),Y17*6,0)+IF(ISNUMBER(Y23),Y23*7,0)+IF(ISNUMBER(Y29),Y29*6,0))/(IF(ISNUMBER(Y5),7,0)+IF(ISNUMBER(Y11),7,0)+IF(ISNUMBER(Y17),6,0)+IF(ISNUMBER(Y23),7,0)+IF(ISNUMBER(Y29),6,0)))</f>
        <v/>
      </c>
      <c r="Z35" s="39" t="str">
        <f>_xlfn.IFERROR(AVERAGE(E35:Y35),"")</f>
        <v/>
      </c>
    </row>
    <row r="36" spans="8:8" ht="20.0" customHeight="1">
      <c r="A36" s="18" t="s">
        <v>1229</v>
      </c>
    </row>
    <row r="37" spans="8:8" ht="28.0" customHeight="1">
      <c r="A37" s="28"/>
      <c r="B37" s="29" t="s">
        <v>1160</v>
      </c>
      <c r="C37" s="30" t="s">
        <v>1161</v>
      </c>
      <c r="D37" s="29">
        <v>6.0</v>
      </c>
      <c r="E37" s="31" t="str">
        <f>IF(COUNTA(E38:E42)=0,"",COUNTIF(E38:E42,"Ya")/5*100)</f>
        <v/>
      </c>
      <c r="F37" s="31" t="str">
        <f>IF(COUNTA(F38:F42)=0,"",COUNTIF(F38:F42,"Ya")/5*100)</f>
        <v/>
      </c>
      <c r="G37" s="31" t="str">
        <f>IF(COUNTA(G38:G42)=0,"",COUNTIF(G38:G42,"Ya")/5*100)</f>
        <v/>
      </c>
      <c r="H37" s="31" t="str">
        <f>IF(COUNTA(H38:H42)=0,"",COUNTIF(H38:H42,"Ya")/5*100)</f>
        <v/>
      </c>
      <c r="I37" s="31" t="str">
        <f>IF(COUNTA(I38:I42)=0,"",COUNTIF(I38:I42,"Ya")/5*100)</f>
        <v/>
      </c>
      <c r="J37" s="31" t="str">
        <f>IF(COUNTA(J38:J42)=0,"",COUNTIF(J38:J42,"Ya")/5*100)</f>
        <v/>
      </c>
      <c r="K37" s="31" t="str">
        <f>IF(COUNTA(K38:K42)=0,"",COUNTIF(K38:K42,"Ya")/5*100)</f>
        <v/>
      </c>
      <c r="L37" s="31" t="str">
        <f>IF(COUNTA(L38:L42)=0,"",COUNTIF(L38:L42,"Ya")/5*100)</f>
        <v/>
      </c>
      <c r="M37" s="31" t="str">
        <f>IF(COUNTA(M38:M42)=0,"",COUNTIF(M38:M42,"Ya")/5*100)</f>
        <v/>
      </c>
      <c r="N37" s="31" t="str">
        <f>IF(COUNTA(N38:N42)=0,"",COUNTIF(N38:N42,"Ya")/5*100)</f>
        <v/>
      </c>
      <c r="O37" s="31" t="str">
        <f>IF(COUNTA(O38:O42)=0,"",COUNTIF(O38:O42,"Ya")/5*100)</f>
        <v/>
      </c>
      <c r="P37" s="31" t="str">
        <f>IF(COUNTA(P38:P42)=0,"",COUNTIF(P38:P42,"Ya")/5*100)</f>
        <v/>
      </c>
      <c r="Q37" s="31" t="str">
        <f>IF(COUNTA(Q38:Q42)=0,"",COUNTIF(Q38:Q42,"Ya")/5*100)</f>
        <v/>
      </c>
      <c r="R37" s="31" t="str">
        <f>IF(COUNTA(R38:R42)=0,"",COUNTIF(R38:R42,"Ya")/5*100)</f>
        <v/>
      </c>
      <c r="S37" s="31" t="str">
        <f>IF(COUNTA(S38:S42)=0,"",COUNTIF(S38:S42,"Ya")/5*100)</f>
        <v/>
      </c>
      <c r="T37" s="31" t="str">
        <f>IF(COUNTA(T38:T42)=0,"",COUNTIF(T38:T42,"Ya")/5*100)</f>
        <v/>
      </c>
      <c r="U37" s="31" t="str">
        <f>IF(COUNTA(U38:U42)=0,"",COUNTIF(U38:U42,"Ya")/5*100)</f>
        <v/>
      </c>
      <c r="V37" s="31" t="str">
        <f>IF(COUNTA(V38:V42)=0,"",COUNTIF(V38:V42,"Ya")/5*100)</f>
        <v/>
      </c>
      <c r="W37" s="31" t="str">
        <f>IF(COUNTA(W38:W42)=0,"",COUNTIF(W38:W42,"Ya")/5*100)</f>
        <v/>
      </c>
      <c r="X37" s="31" t="str">
        <f>IF(COUNTA(X38:X42)=0,"",COUNTIF(X38:X42,"Ya")/5*100)</f>
        <v/>
      </c>
      <c r="Y37" s="31" t="str">
        <f>IF(COUNTA(Y38:Y42)=0,"",COUNTIF(Y38:Y42,"Ya")/5*100)</f>
        <v/>
      </c>
      <c r="Z37" s="31" t="str">
        <f>_xlfn.IFERROR(AVERAGE(E37:Y37),"")</f>
        <v/>
      </c>
    </row>
    <row r="38" spans="8:8" ht="25.0" customHeight="1">
      <c r="A38" s="32"/>
      <c r="B38" s="33" t="s">
        <v>1230</v>
      </c>
      <c r="C38" s="34" t="s">
        <v>1231</v>
      </c>
      <c r="D38" s="32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8:8" ht="25.0" customHeight="1">
      <c r="A39" s="32"/>
      <c r="B39" s="33" t="s">
        <v>1232</v>
      </c>
      <c r="C39" s="34" t="s">
        <v>1233</v>
      </c>
      <c r="D39" s="32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8:8" ht="25.0" customHeight="1">
      <c r="A40" s="32"/>
      <c r="B40" s="33" t="s">
        <v>1234</v>
      </c>
      <c r="C40" s="34" t="s">
        <v>1235</v>
      </c>
      <c r="D40" s="32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8:8" ht="25.0" customHeight="1">
      <c r="A41" s="32"/>
      <c r="B41" s="33" t="s">
        <v>1236</v>
      </c>
      <c r="C41" s="34" t="s">
        <v>1237</v>
      </c>
      <c r="D41" s="32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8:8" ht="25.0" customHeight="1">
      <c r="A42" s="32"/>
      <c r="B42" s="33" t="s">
        <v>1238</v>
      </c>
      <c r="C42" s="34" t="s">
        <v>1239</v>
      </c>
      <c r="D42" s="32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8:8" ht="40.0" customHeight="1">
      <c r="A43" s="28"/>
      <c r="B43" s="29" t="s">
        <v>1162</v>
      </c>
      <c r="C43" s="30" t="s">
        <v>1163</v>
      </c>
      <c r="D43" s="29">
        <v>7.0</v>
      </c>
      <c r="E43" s="31" t="str">
        <f>IF(COUNTA(E44:E48)=0,"",COUNTIF(E44:E48,"Ya")/5*100)</f>
        <v/>
      </c>
      <c r="F43" s="31" t="str">
        <f>IF(COUNTA(F44:F48)=0,"",COUNTIF(F44:F48,"Ya")/5*100)</f>
        <v/>
      </c>
      <c r="G43" s="31" t="str">
        <f>IF(COUNTA(G44:G48)=0,"",COUNTIF(G44:G48,"Ya")/5*100)</f>
        <v/>
      </c>
      <c r="H43" s="31" t="str">
        <f>IF(COUNTA(H44:H48)=0,"",COUNTIF(H44:H48,"Ya")/5*100)</f>
        <v/>
      </c>
      <c r="I43" s="31" t="str">
        <f>IF(COUNTA(I44:I48)=0,"",COUNTIF(I44:I48,"Ya")/5*100)</f>
        <v/>
      </c>
      <c r="J43" s="31" t="str">
        <f>IF(COUNTA(J44:J48)=0,"",COUNTIF(J44:J48,"Ya")/5*100)</f>
        <v/>
      </c>
      <c r="K43" s="31" t="str">
        <f>IF(COUNTA(K44:K48)=0,"",COUNTIF(K44:K48,"Ya")/5*100)</f>
        <v/>
      </c>
      <c r="L43" s="31" t="str">
        <f>IF(COUNTA(L44:L48)=0,"",COUNTIF(L44:L48,"Ya")/5*100)</f>
        <v/>
      </c>
      <c r="M43" s="31" t="str">
        <f>IF(COUNTA(M44:M48)=0,"",COUNTIF(M44:M48,"Ya")/5*100)</f>
        <v/>
      </c>
      <c r="N43" s="31" t="str">
        <f>IF(COUNTA(N44:N48)=0,"",COUNTIF(N44:N48,"Ya")/5*100)</f>
        <v/>
      </c>
      <c r="O43" s="31" t="str">
        <f>IF(COUNTA(O44:O48)=0,"",COUNTIF(O44:O48,"Ya")/5*100)</f>
        <v/>
      </c>
      <c r="P43" s="31" t="str">
        <f>IF(COUNTA(P44:P48)=0,"",COUNTIF(P44:P48,"Ya")/5*100)</f>
        <v/>
      </c>
      <c r="Q43" s="31" t="str">
        <f>IF(COUNTA(Q44:Q48)=0,"",COUNTIF(Q44:Q48,"Ya")/5*100)</f>
        <v/>
      </c>
      <c r="R43" s="31" t="str">
        <f>IF(COUNTA(R44:R48)=0,"",COUNTIF(R44:R48,"Ya")/5*100)</f>
        <v/>
      </c>
      <c r="S43" s="31" t="str">
        <f>IF(COUNTA(S44:S48)=0,"",COUNTIF(S44:S48,"Ya")/5*100)</f>
        <v/>
      </c>
      <c r="T43" s="31" t="str">
        <f>IF(COUNTA(T44:T48)=0,"",COUNTIF(T44:T48,"Ya")/5*100)</f>
        <v/>
      </c>
      <c r="U43" s="31" t="str">
        <f>IF(COUNTA(U44:U48)=0,"",COUNTIF(U44:U48,"Ya")/5*100)</f>
        <v/>
      </c>
      <c r="V43" s="31" t="str">
        <f>IF(COUNTA(V44:V48)=0,"",COUNTIF(V44:V48,"Ya")/5*100)</f>
        <v/>
      </c>
      <c r="W43" s="31" t="str">
        <f>IF(COUNTA(W44:W48)=0,"",COUNTIF(W44:W48,"Ya")/5*100)</f>
        <v/>
      </c>
      <c r="X43" s="31" t="str">
        <f>IF(COUNTA(X44:X48)=0,"",COUNTIF(X44:X48,"Ya")/5*100)</f>
        <v/>
      </c>
      <c r="Y43" s="31" t="str">
        <f>IF(COUNTA(Y44:Y48)=0,"",COUNTIF(Y44:Y48,"Ya")/5*100)</f>
        <v/>
      </c>
      <c r="Z43" s="31" t="str">
        <f>_xlfn.IFERROR(AVERAGE(E43:Y43),"")</f>
        <v/>
      </c>
    </row>
    <row r="44" spans="8:8" ht="25.0" customHeight="1">
      <c r="A44" s="32"/>
      <c r="B44" s="33" t="s">
        <v>1240</v>
      </c>
      <c r="C44" s="34" t="s">
        <v>1241</v>
      </c>
      <c r="D44" s="32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8:8" ht="25.0" customHeight="1">
      <c r="A45" s="32"/>
      <c r="B45" s="33" t="s">
        <v>1242</v>
      </c>
      <c r="C45" s="34" t="s">
        <v>1243</v>
      </c>
      <c r="D45" s="32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8:8" ht="14.0" customHeight="1">
      <c r="A46" s="32"/>
      <c r="B46" s="33" t="s">
        <v>1244</v>
      </c>
      <c r="C46" s="34" t="s">
        <v>547</v>
      </c>
      <c r="D46" s="32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8:8" ht="25.0" customHeight="1">
      <c r="A47" s="32"/>
      <c r="B47" s="33" t="s">
        <v>1245</v>
      </c>
      <c r="C47" s="34" t="s">
        <v>1246</v>
      </c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8:8" ht="25.0" customHeight="1">
      <c r="A48" s="32"/>
      <c r="B48" s="33" t="s">
        <v>1247</v>
      </c>
      <c r="C48" s="34" t="s">
        <v>1248</v>
      </c>
      <c r="D48" s="32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8:8" ht="28.0" customHeight="1">
      <c r="A49" s="28"/>
      <c r="B49" s="29" t="s">
        <v>1164</v>
      </c>
      <c r="C49" s="30" t="s">
        <v>1165</v>
      </c>
      <c r="D49" s="29">
        <v>7.0</v>
      </c>
      <c r="E49" s="31" t="str">
        <f>IF(COUNTA(E50:E54)=0,"",COUNTIF(E50:E54,"Ya")/5*100)</f>
        <v/>
      </c>
      <c r="F49" s="31" t="str">
        <f>IF(COUNTA(F50:F54)=0,"",COUNTIF(F50:F54,"Ya")/5*100)</f>
        <v/>
      </c>
      <c r="G49" s="31" t="str">
        <f>IF(COUNTA(G50:G54)=0,"",COUNTIF(G50:G54,"Ya")/5*100)</f>
        <v/>
      </c>
      <c r="H49" s="31" t="str">
        <f>IF(COUNTA(H50:H54)=0,"",COUNTIF(H50:H54,"Ya")/5*100)</f>
        <v/>
      </c>
      <c r="I49" s="31" t="str">
        <f>IF(COUNTA(I50:I54)=0,"",COUNTIF(I50:I54,"Ya")/5*100)</f>
        <v/>
      </c>
      <c r="J49" s="31" t="str">
        <f>IF(COUNTA(J50:J54)=0,"",COUNTIF(J50:J54,"Ya")/5*100)</f>
        <v/>
      </c>
      <c r="K49" s="31" t="str">
        <f>IF(COUNTA(K50:K54)=0,"",COUNTIF(K50:K54,"Ya")/5*100)</f>
        <v/>
      </c>
      <c r="L49" s="31" t="str">
        <f>IF(COUNTA(L50:L54)=0,"",COUNTIF(L50:L54,"Ya")/5*100)</f>
        <v/>
      </c>
      <c r="M49" s="31" t="str">
        <f>IF(COUNTA(M50:M54)=0,"",COUNTIF(M50:M54,"Ya")/5*100)</f>
        <v/>
      </c>
      <c r="N49" s="31" t="str">
        <f>IF(COUNTA(N50:N54)=0,"",COUNTIF(N50:N54,"Ya")/5*100)</f>
        <v/>
      </c>
      <c r="O49" s="31" t="str">
        <f>IF(COUNTA(O50:O54)=0,"",COUNTIF(O50:O54,"Ya")/5*100)</f>
        <v/>
      </c>
      <c r="P49" s="31" t="str">
        <f>IF(COUNTA(P50:P54)=0,"",COUNTIF(P50:P54,"Ya")/5*100)</f>
        <v/>
      </c>
      <c r="Q49" s="31" t="str">
        <f>IF(COUNTA(Q50:Q54)=0,"",COUNTIF(Q50:Q54,"Ya")/5*100)</f>
        <v/>
      </c>
      <c r="R49" s="31" t="str">
        <f>IF(COUNTA(R50:R54)=0,"",COUNTIF(R50:R54,"Ya")/5*100)</f>
        <v/>
      </c>
      <c r="S49" s="31" t="str">
        <f>IF(COUNTA(S50:S54)=0,"",COUNTIF(S50:S54,"Ya")/5*100)</f>
        <v/>
      </c>
      <c r="T49" s="31" t="str">
        <f>IF(COUNTA(T50:T54)=0,"",COUNTIF(T50:T54,"Ya")/5*100)</f>
        <v/>
      </c>
      <c r="U49" s="31" t="str">
        <f>IF(COUNTA(U50:U54)=0,"",COUNTIF(U50:U54,"Ya")/5*100)</f>
        <v/>
      </c>
      <c r="V49" s="31" t="str">
        <f>IF(COUNTA(V50:V54)=0,"",COUNTIF(V50:V54,"Ya")/5*100)</f>
        <v/>
      </c>
      <c r="W49" s="31" t="str">
        <f>IF(COUNTA(W50:W54)=0,"",COUNTIF(W50:W54,"Ya")/5*100)</f>
        <v/>
      </c>
      <c r="X49" s="31" t="str">
        <f>IF(COUNTA(X50:X54)=0,"",COUNTIF(X50:X54,"Ya")/5*100)</f>
        <v/>
      </c>
      <c r="Y49" s="31" t="str">
        <f>IF(COUNTA(Y50:Y54)=0,"",COUNTIF(Y50:Y54,"Ya")/5*100)</f>
        <v/>
      </c>
      <c r="Z49" s="31" t="str">
        <f>_xlfn.IFERROR(AVERAGE(E49:Y49),"")</f>
        <v/>
      </c>
    </row>
    <row r="50" spans="8:8" ht="25.0" customHeight="1">
      <c r="A50" s="32"/>
      <c r="B50" s="33" t="s">
        <v>1249</v>
      </c>
      <c r="C50" s="34" t="s">
        <v>1250</v>
      </c>
      <c r="D50" s="32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8:8" ht="25.0" customHeight="1">
      <c r="A51" s="32"/>
      <c r="B51" s="33" t="s">
        <v>1251</v>
      </c>
      <c r="C51" s="34" t="s">
        <v>1252</v>
      </c>
      <c r="D51" s="32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8:8" ht="25.0" customHeight="1">
      <c r="A52" s="32"/>
      <c r="B52" s="33" t="s">
        <v>1253</v>
      </c>
      <c r="C52" s="34" t="s">
        <v>1254</v>
      </c>
      <c r="D52" s="32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8:8" ht="25.0" customHeight="1">
      <c r="A53" s="32"/>
      <c r="B53" s="33" t="s">
        <v>1255</v>
      </c>
      <c r="C53" s="34" t="s">
        <v>1256</v>
      </c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8:8" ht="25.0" customHeight="1">
      <c r="A54" s="32"/>
      <c r="B54" s="33" t="s">
        <v>1257</v>
      </c>
      <c r="C54" s="34" t="s">
        <v>1258</v>
      </c>
      <c r="D54" s="32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8:8" ht="28.0" customHeight="1">
      <c r="A55" s="28"/>
      <c r="B55" s="29" t="s">
        <v>1166</v>
      </c>
      <c r="C55" s="30" t="s">
        <v>1167</v>
      </c>
      <c r="D55" s="29">
        <v>6.0</v>
      </c>
      <c r="E55" s="31" t="str">
        <f>IF(COUNTA(E56:E60)=0,"",COUNTIF(E56:E60,"Ya")/5*100)</f>
        <v/>
      </c>
      <c r="F55" s="31" t="str">
        <f>IF(COUNTA(F56:F60)=0,"",COUNTIF(F56:F60,"Ya")/5*100)</f>
        <v/>
      </c>
      <c r="G55" s="31" t="str">
        <f>IF(COUNTA(G56:G60)=0,"",COUNTIF(G56:G60,"Ya")/5*100)</f>
        <v/>
      </c>
      <c r="H55" s="31" t="str">
        <f>IF(COUNTA(H56:H60)=0,"",COUNTIF(H56:H60,"Ya")/5*100)</f>
        <v/>
      </c>
      <c r="I55" s="31" t="str">
        <f>IF(COUNTA(I56:I60)=0,"",COUNTIF(I56:I60,"Ya")/5*100)</f>
        <v/>
      </c>
      <c r="J55" s="31" t="str">
        <f>IF(COUNTA(J56:J60)=0,"",COUNTIF(J56:J60,"Ya")/5*100)</f>
        <v/>
      </c>
      <c r="K55" s="31" t="str">
        <f>IF(COUNTA(K56:K60)=0,"",COUNTIF(K56:K60,"Ya")/5*100)</f>
        <v/>
      </c>
      <c r="L55" s="31" t="str">
        <f>IF(COUNTA(L56:L60)=0,"",COUNTIF(L56:L60,"Ya")/5*100)</f>
        <v/>
      </c>
      <c r="M55" s="31" t="str">
        <f>IF(COUNTA(M56:M60)=0,"",COUNTIF(M56:M60,"Ya")/5*100)</f>
        <v/>
      </c>
      <c r="N55" s="31" t="str">
        <f>IF(COUNTA(N56:N60)=0,"",COUNTIF(N56:N60,"Ya")/5*100)</f>
        <v/>
      </c>
      <c r="O55" s="31" t="str">
        <f>IF(COUNTA(O56:O60)=0,"",COUNTIF(O56:O60,"Ya")/5*100)</f>
        <v/>
      </c>
      <c r="P55" s="31" t="str">
        <f>IF(COUNTA(P56:P60)=0,"",COUNTIF(P56:P60,"Ya")/5*100)</f>
        <v/>
      </c>
      <c r="Q55" s="31" t="str">
        <f>IF(COUNTA(Q56:Q60)=0,"",COUNTIF(Q56:Q60,"Ya")/5*100)</f>
        <v/>
      </c>
      <c r="R55" s="31" t="str">
        <f>IF(COUNTA(R56:R60)=0,"",COUNTIF(R56:R60,"Ya")/5*100)</f>
        <v/>
      </c>
      <c r="S55" s="31" t="str">
        <f>IF(COUNTA(S56:S60)=0,"",COUNTIF(S56:S60,"Ya")/5*100)</f>
        <v/>
      </c>
      <c r="T55" s="31" t="str">
        <f>IF(COUNTA(T56:T60)=0,"",COUNTIF(T56:T60,"Ya")/5*100)</f>
        <v/>
      </c>
      <c r="U55" s="31" t="str">
        <f>IF(COUNTA(U56:U60)=0,"",COUNTIF(U56:U60,"Ya")/5*100)</f>
        <v/>
      </c>
      <c r="V55" s="31" t="str">
        <f>IF(COUNTA(V56:V60)=0,"",COUNTIF(V56:V60,"Ya")/5*100)</f>
        <v/>
      </c>
      <c r="W55" s="31" t="str">
        <f>IF(COUNTA(W56:W60)=0,"",COUNTIF(W56:W60,"Ya")/5*100)</f>
        <v/>
      </c>
      <c r="X55" s="31" t="str">
        <f>IF(COUNTA(X56:X60)=0,"",COUNTIF(X56:X60,"Ya")/5*100)</f>
        <v/>
      </c>
      <c r="Y55" s="31" t="str">
        <f>IF(COUNTA(Y56:Y60)=0,"",COUNTIF(Y56:Y60,"Ya")/5*100)</f>
        <v/>
      </c>
      <c r="Z55" s="31" t="str">
        <f>_xlfn.IFERROR(AVERAGE(E55:Y55),"")</f>
        <v/>
      </c>
    </row>
    <row r="56" spans="8:8" ht="25.0" customHeight="1">
      <c r="A56" s="32"/>
      <c r="B56" s="33" t="s">
        <v>1259</v>
      </c>
      <c r="C56" s="34" t="s">
        <v>1260</v>
      </c>
      <c r="D56" s="32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8:8" ht="25.0" customHeight="1">
      <c r="A57" s="32"/>
      <c r="B57" s="33" t="s">
        <v>1261</v>
      </c>
      <c r="C57" s="34" t="s">
        <v>1262</v>
      </c>
      <c r="D57" s="32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spans="8:8" ht="25.0" customHeight="1">
      <c r="A58" s="32"/>
      <c r="B58" s="33" t="s">
        <v>1263</v>
      </c>
      <c r="C58" s="34" t="s">
        <v>1264</v>
      </c>
      <c r="D58" s="3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8:8" ht="25.0" customHeight="1">
      <c r="A59" s="32"/>
      <c r="B59" s="33" t="s">
        <v>1265</v>
      </c>
      <c r="C59" s="34" t="s">
        <v>984</v>
      </c>
      <c r="D59" s="32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8:8" ht="25.0" customHeight="1">
      <c r="A60" s="32"/>
      <c r="B60" s="33" t="s">
        <v>1266</v>
      </c>
      <c r="C60" s="34" t="s">
        <v>1267</v>
      </c>
      <c r="D60" s="3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8:8" ht="28.0" customHeight="1">
      <c r="A61" s="28"/>
      <c r="B61" s="29" t="s">
        <v>1168</v>
      </c>
      <c r="C61" s="30" t="s">
        <v>1169</v>
      </c>
      <c r="D61" s="29">
        <v>7.0</v>
      </c>
      <c r="E61" s="31" t="str">
        <f>IF(COUNTA(E62:E66)=0,"",COUNTIF(E62:E66,"Ya")/5*100)</f>
        <v/>
      </c>
      <c r="F61" s="31" t="str">
        <f>IF(COUNTA(F62:F66)=0,"",COUNTIF(F62:F66,"Ya")/5*100)</f>
        <v/>
      </c>
      <c r="G61" s="31" t="str">
        <f>IF(COUNTA(G62:G66)=0,"",COUNTIF(G62:G66,"Ya")/5*100)</f>
        <v/>
      </c>
      <c r="H61" s="31" t="str">
        <f>IF(COUNTA(H62:H66)=0,"",COUNTIF(H62:H66,"Ya")/5*100)</f>
        <v/>
      </c>
      <c r="I61" s="31" t="str">
        <f>IF(COUNTA(I62:I66)=0,"",COUNTIF(I62:I66,"Ya")/5*100)</f>
        <v/>
      </c>
      <c r="J61" s="31" t="str">
        <f>IF(COUNTA(J62:J66)=0,"",COUNTIF(J62:J66,"Ya")/5*100)</f>
        <v/>
      </c>
      <c r="K61" s="31" t="str">
        <f>IF(COUNTA(K62:K66)=0,"",COUNTIF(K62:K66,"Ya")/5*100)</f>
        <v/>
      </c>
      <c r="L61" s="31" t="str">
        <f>IF(COUNTA(L62:L66)=0,"",COUNTIF(L62:L66,"Ya")/5*100)</f>
        <v/>
      </c>
      <c r="M61" s="31" t="str">
        <f>IF(COUNTA(M62:M66)=0,"",COUNTIF(M62:M66,"Ya")/5*100)</f>
        <v/>
      </c>
      <c r="N61" s="31" t="str">
        <f>IF(COUNTA(N62:N66)=0,"",COUNTIF(N62:N66,"Ya")/5*100)</f>
        <v/>
      </c>
      <c r="O61" s="31" t="str">
        <f>IF(COUNTA(O62:O66)=0,"",COUNTIF(O62:O66,"Ya")/5*100)</f>
        <v/>
      </c>
      <c r="P61" s="31" t="str">
        <f>IF(COUNTA(P62:P66)=0,"",COUNTIF(P62:P66,"Ya")/5*100)</f>
        <v/>
      </c>
      <c r="Q61" s="31" t="str">
        <f>IF(COUNTA(Q62:Q66)=0,"",COUNTIF(Q62:Q66,"Ya")/5*100)</f>
        <v/>
      </c>
      <c r="R61" s="31" t="str">
        <f>IF(COUNTA(R62:R66)=0,"",COUNTIF(R62:R66,"Ya")/5*100)</f>
        <v/>
      </c>
      <c r="S61" s="31" t="str">
        <f>IF(COUNTA(S62:S66)=0,"",COUNTIF(S62:S66,"Ya")/5*100)</f>
        <v/>
      </c>
      <c r="T61" s="31" t="str">
        <f>IF(COUNTA(T62:T66)=0,"",COUNTIF(T62:T66,"Ya")/5*100)</f>
        <v/>
      </c>
      <c r="U61" s="31" t="str">
        <f>IF(COUNTA(U62:U66)=0,"",COUNTIF(U62:U66,"Ya")/5*100)</f>
        <v/>
      </c>
      <c r="V61" s="31" t="str">
        <f>IF(COUNTA(V62:V66)=0,"",COUNTIF(V62:V66,"Ya")/5*100)</f>
        <v/>
      </c>
      <c r="W61" s="31" t="str">
        <f>IF(COUNTA(W62:W66)=0,"",COUNTIF(W62:W66,"Ya")/5*100)</f>
        <v/>
      </c>
      <c r="X61" s="31" t="str">
        <f>IF(COUNTA(X62:X66)=0,"",COUNTIF(X62:X66,"Ya")/5*100)</f>
        <v/>
      </c>
      <c r="Y61" s="31" t="str">
        <f>IF(COUNTA(Y62:Y66)=0,"",COUNTIF(Y62:Y66,"Ya")/5*100)</f>
        <v/>
      </c>
      <c r="Z61" s="31" t="str">
        <f>_xlfn.IFERROR(AVERAGE(E61:Y61),"")</f>
        <v/>
      </c>
    </row>
    <row r="62" spans="8:8" ht="25.0" customHeight="1">
      <c r="A62" s="32"/>
      <c r="B62" s="33" t="s">
        <v>1268</v>
      </c>
      <c r="C62" s="34" t="s">
        <v>1269</v>
      </c>
      <c r="D62" s="32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8:8" ht="25.0" customHeight="1">
      <c r="A63" s="32"/>
      <c r="B63" s="33" t="s">
        <v>1270</v>
      </c>
      <c r="C63" s="34" t="s">
        <v>1271</v>
      </c>
      <c r="D63" s="32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spans="8:8" ht="25.0" customHeight="1">
      <c r="A64" s="32"/>
      <c r="B64" s="33" t="s">
        <v>1272</v>
      </c>
      <c r="C64" s="34" t="s">
        <v>1273</v>
      </c>
      <c r="D64" s="32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8:8" ht="25.0" customHeight="1">
      <c r="A65" s="32"/>
      <c r="B65" s="33" t="s">
        <v>1274</v>
      </c>
      <c r="C65" s="34" t="s">
        <v>1275</v>
      </c>
      <c r="D65" s="32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8:8" ht="25.0" customHeight="1">
      <c r="A66" s="32"/>
      <c r="B66" s="33" t="s">
        <v>1276</v>
      </c>
      <c r="C66" s="34" t="s">
        <v>1277</v>
      </c>
      <c r="D66" s="32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8:8" ht="18.0" customHeight="1">
      <c r="A67" s="36"/>
      <c r="B67" s="36"/>
      <c r="C67" s="37" t="s">
        <v>1278</v>
      </c>
      <c r="D67" s="38">
        <v>33.0</v>
      </c>
      <c r="E67" s="39" t="str">
        <f>IF((IF(ISNUMBER(E37),6,0)+IF(ISNUMBER(E43),7,0)+IF(ISNUMBER(E49),7,0)+IF(ISNUMBER(E55),6,0)+IF(ISNUMBER(E61),7,0))=0,"",(IF(ISNUMBER(E37),E37*6,0)+IF(ISNUMBER(E43),E43*7,0)+IF(ISNUMBER(E49),E49*7,0)+IF(ISNUMBER(E55),E55*6,0)+IF(ISNUMBER(E61),E61*7,0))/(IF(ISNUMBER(E37),6,0)+IF(ISNUMBER(E43),7,0)+IF(ISNUMBER(E49),7,0)+IF(ISNUMBER(E55),6,0)+IF(ISNUMBER(E61),7,0)))</f>
        <v/>
      </c>
      <c r="F67" s="39" t="str">
        <f>IF((IF(ISNUMBER(F37),6,0)+IF(ISNUMBER(F43),7,0)+IF(ISNUMBER(F49),7,0)+IF(ISNUMBER(F55),6,0)+IF(ISNUMBER(F61),7,0))=0,"",(IF(ISNUMBER(F37),F37*6,0)+IF(ISNUMBER(F43),F43*7,0)+IF(ISNUMBER(F49),F49*7,0)+IF(ISNUMBER(F55),F55*6,0)+IF(ISNUMBER(F61),F61*7,0))/(IF(ISNUMBER(F37),6,0)+IF(ISNUMBER(F43),7,0)+IF(ISNUMBER(F49),7,0)+IF(ISNUMBER(F55),6,0)+IF(ISNUMBER(F61),7,0)))</f>
        <v/>
      </c>
      <c r="G67" s="39" t="str">
        <f>IF((IF(ISNUMBER(G37),6,0)+IF(ISNUMBER(G43),7,0)+IF(ISNUMBER(G49),7,0)+IF(ISNUMBER(G55),6,0)+IF(ISNUMBER(G61),7,0))=0,"",(IF(ISNUMBER(G37),G37*6,0)+IF(ISNUMBER(G43),G43*7,0)+IF(ISNUMBER(G49),G49*7,0)+IF(ISNUMBER(G55),G55*6,0)+IF(ISNUMBER(G61),G61*7,0))/(IF(ISNUMBER(G37),6,0)+IF(ISNUMBER(G43),7,0)+IF(ISNUMBER(G49),7,0)+IF(ISNUMBER(G55),6,0)+IF(ISNUMBER(G61),7,0)))</f>
        <v/>
      </c>
      <c r="H67" s="39" t="str">
        <f>IF((IF(ISNUMBER(H37),6,0)+IF(ISNUMBER(H43),7,0)+IF(ISNUMBER(H49),7,0)+IF(ISNUMBER(H55),6,0)+IF(ISNUMBER(H61),7,0))=0,"",(IF(ISNUMBER(H37),H37*6,0)+IF(ISNUMBER(H43),H43*7,0)+IF(ISNUMBER(H49),H49*7,0)+IF(ISNUMBER(H55),H55*6,0)+IF(ISNUMBER(H61),H61*7,0))/(IF(ISNUMBER(H37),6,0)+IF(ISNUMBER(H43),7,0)+IF(ISNUMBER(H49),7,0)+IF(ISNUMBER(H55),6,0)+IF(ISNUMBER(H61),7,0)))</f>
        <v/>
      </c>
      <c r="I67" s="39" t="str">
        <f>IF((IF(ISNUMBER(I37),6,0)+IF(ISNUMBER(I43),7,0)+IF(ISNUMBER(I49),7,0)+IF(ISNUMBER(I55),6,0)+IF(ISNUMBER(I61),7,0))=0,"",(IF(ISNUMBER(I37),I37*6,0)+IF(ISNUMBER(I43),I43*7,0)+IF(ISNUMBER(I49),I49*7,0)+IF(ISNUMBER(I55),I55*6,0)+IF(ISNUMBER(I61),I61*7,0))/(IF(ISNUMBER(I37),6,0)+IF(ISNUMBER(I43),7,0)+IF(ISNUMBER(I49),7,0)+IF(ISNUMBER(I55),6,0)+IF(ISNUMBER(I61),7,0)))</f>
        <v/>
      </c>
      <c r="J67" s="39" t="str">
        <f>IF((IF(ISNUMBER(J37),6,0)+IF(ISNUMBER(J43),7,0)+IF(ISNUMBER(J49),7,0)+IF(ISNUMBER(J55),6,0)+IF(ISNUMBER(J61),7,0))=0,"",(IF(ISNUMBER(J37),J37*6,0)+IF(ISNUMBER(J43),J43*7,0)+IF(ISNUMBER(J49),J49*7,0)+IF(ISNUMBER(J55),J55*6,0)+IF(ISNUMBER(J61),J61*7,0))/(IF(ISNUMBER(J37),6,0)+IF(ISNUMBER(J43),7,0)+IF(ISNUMBER(J49),7,0)+IF(ISNUMBER(J55),6,0)+IF(ISNUMBER(J61),7,0)))</f>
        <v/>
      </c>
      <c r="K67" s="39" t="str">
        <f>IF((IF(ISNUMBER(K37),6,0)+IF(ISNUMBER(K43),7,0)+IF(ISNUMBER(K49),7,0)+IF(ISNUMBER(K55),6,0)+IF(ISNUMBER(K61),7,0))=0,"",(IF(ISNUMBER(K37),K37*6,0)+IF(ISNUMBER(K43),K43*7,0)+IF(ISNUMBER(K49),K49*7,0)+IF(ISNUMBER(K55),K55*6,0)+IF(ISNUMBER(K61),K61*7,0))/(IF(ISNUMBER(K37),6,0)+IF(ISNUMBER(K43),7,0)+IF(ISNUMBER(K49),7,0)+IF(ISNUMBER(K55),6,0)+IF(ISNUMBER(K61),7,0)))</f>
        <v/>
      </c>
      <c r="L67" s="39" t="str">
        <f>IF((IF(ISNUMBER(L37),6,0)+IF(ISNUMBER(L43),7,0)+IF(ISNUMBER(L49),7,0)+IF(ISNUMBER(L55),6,0)+IF(ISNUMBER(L61),7,0))=0,"",(IF(ISNUMBER(L37),L37*6,0)+IF(ISNUMBER(L43),L43*7,0)+IF(ISNUMBER(L49),L49*7,0)+IF(ISNUMBER(L55),L55*6,0)+IF(ISNUMBER(L61),L61*7,0))/(IF(ISNUMBER(L37),6,0)+IF(ISNUMBER(L43),7,0)+IF(ISNUMBER(L49),7,0)+IF(ISNUMBER(L55),6,0)+IF(ISNUMBER(L61),7,0)))</f>
        <v/>
      </c>
      <c r="M67" s="39" t="str">
        <f>IF((IF(ISNUMBER(M37),6,0)+IF(ISNUMBER(M43),7,0)+IF(ISNUMBER(M49),7,0)+IF(ISNUMBER(M55),6,0)+IF(ISNUMBER(M61),7,0))=0,"",(IF(ISNUMBER(M37),M37*6,0)+IF(ISNUMBER(M43),M43*7,0)+IF(ISNUMBER(M49),M49*7,0)+IF(ISNUMBER(M55),M55*6,0)+IF(ISNUMBER(M61),M61*7,0))/(IF(ISNUMBER(M37),6,0)+IF(ISNUMBER(M43),7,0)+IF(ISNUMBER(M49),7,0)+IF(ISNUMBER(M55),6,0)+IF(ISNUMBER(M61),7,0)))</f>
        <v/>
      </c>
      <c r="N67" s="39" t="str">
        <f>IF((IF(ISNUMBER(N37),6,0)+IF(ISNUMBER(N43),7,0)+IF(ISNUMBER(N49),7,0)+IF(ISNUMBER(N55),6,0)+IF(ISNUMBER(N61),7,0))=0,"",(IF(ISNUMBER(N37),N37*6,0)+IF(ISNUMBER(N43),N43*7,0)+IF(ISNUMBER(N49),N49*7,0)+IF(ISNUMBER(N55),N55*6,0)+IF(ISNUMBER(N61),N61*7,0))/(IF(ISNUMBER(N37),6,0)+IF(ISNUMBER(N43),7,0)+IF(ISNUMBER(N49),7,0)+IF(ISNUMBER(N55),6,0)+IF(ISNUMBER(N61),7,0)))</f>
        <v/>
      </c>
      <c r="O67" s="39" t="str">
        <f>IF((IF(ISNUMBER(O37),6,0)+IF(ISNUMBER(O43),7,0)+IF(ISNUMBER(O49),7,0)+IF(ISNUMBER(O55),6,0)+IF(ISNUMBER(O61),7,0))=0,"",(IF(ISNUMBER(O37),O37*6,0)+IF(ISNUMBER(O43),O43*7,0)+IF(ISNUMBER(O49),O49*7,0)+IF(ISNUMBER(O55),O55*6,0)+IF(ISNUMBER(O61),O61*7,0))/(IF(ISNUMBER(O37),6,0)+IF(ISNUMBER(O43),7,0)+IF(ISNUMBER(O49),7,0)+IF(ISNUMBER(O55),6,0)+IF(ISNUMBER(O61),7,0)))</f>
        <v/>
      </c>
      <c r="P67" s="39" t="str">
        <f>IF((IF(ISNUMBER(P37),6,0)+IF(ISNUMBER(P43),7,0)+IF(ISNUMBER(P49),7,0)+IF(ISNUMBER(P55),6,0)+IF(ISNUMBER(P61),7,0))=0,"",(IF(ISNUMBER(P37),P37*6,0)+IF(ISNUMBER(P43),P43*7,0)+IF(ISNUMBER(P49),P49*7,0)+IF(ISNUMBER(P55),P55*6,0)+IF(ISNUMBER(P61),P61*7,0))/(IF(ISNUMBER(P37),6,0)+IF(ISNUMBER(P43),7,0)+IF(ISNUMBER(P49),7,0)+IF(ISNUMBER(P55),6,0)+IF(ISNUMBER(P61),7,0)))</f>
        <v/>
      </c>
      <c r="Q67" s="39" t="str">
        <f>IF((IF(ISNUMBER(Q37),6,0)+IF(ISNUMBER(Q43),7,0)+IF(ISNUMBER(Q49),7,0)+IF(ISNUMBER(Q55),6,0)+IF(ISNUMBER(Q61),7,0))=0,"",(IF(ISNUMBER(Q37),Q37*6,0)+IF(ISNUMBER(Q43),Q43*7,0)+IF(ISNUMBER(Q49),Q49*7,0)+IF(ISNUMBER(Q55),Q55*6,0)+IF(ISNUMBER(Q61),Q61*7,0))/(IF(ISNUMBER(Q37),6,0)+IF(ISNUMBER(Q43),7,0)+IF(ISNUMBER(Q49),7,0)+IF(ISNUMBER(Q55),6,0)+IF(ISNUMBER(Q61),7,0)))</f>
        <v/>
      </c>
      <c r="R67" s="39" t="str">
        <f>IF((IF(ISNUMBER(R37),6,0)+IF(ISNUMBER(R43),7,0)+IF(ISNUMBER(R49),7,0)+IF(ISNUMBER(R55),6,0)+IF(ISNUMBER(R61),7,0))=0,"",(IF(ISNUMBER(R37),R37*6,0)+IF(ISNUMBER(R43),R43*7,0)+IF(ISNUMBER(R49),R49*7,0)+IF(ISNUMBER(R55),R55*6,0)+IF(ISNUMBER(R61),R61*7,0))/(IF(ISNUMBER(R37),6,0)+IF(ISNUMBER(R43),7,0)+IF(ISNUMBER(R49),7,0)+IF(ISNUMBER(R55),6,0)+IF(ISNUMBER(R61),7,0)))</f>
        <v/>
      </c>
      <c r="S67" s="39" t="str">
        <f>IF((IF(ISNUMBER(S37),6,0)+IF(ISNUMBER(S43),7,0)+IF(ISNUMBER(S49),7,0)+IF(ISNUMBER(S55),6,0)+IF(ISNUMBER(S61),7,0))=0,"",(IF(ISNUMBER(S37),S37*6,0)+IF(ISNUMBER(S43),S43*7,0)+IF(ISNUMBER(S49),S49*7,0)+IF(ISNUMBER(S55),S55*6,0)+IF(ISNUMBER(S61),S61*7,0))/(IF(ISNUMBER(S37),6,0)+IF(ISNUMBER(S43),7,0)+IF(ISNUMBER(S49),7,0)+IF(ISNUMBER(S55),6,0)+IF(ISNUMBER(S61),7,0)))</f>
        <v/>
      </c>
      <c r="T67" s="39" t="str">
        <f>IF((IF(ISNUMBER(T37),6,0)+IF(ISNUMBER(T43),7,0)+IF(ISNUMBER(T49),7,0)+IF(ISNUMBER(T55),6,0)+IF(ISNUMBER(T61),7,0))=0,"",(IF(ISNUMBER(T37),T37*6,0)+IF(ISNUMBER(T43),T43*7,0)+IF(ISNUMBER(T49),T49*7,0)+IF(ISNUMBER(T55),T55*6,0)+IF(ISNUMBER(T61),T61*7,0))/(IF(ISNUMBER(T37),6,0)+IF(ISNUMBER(T43),7,0)+IF(ISNUMBER(T49),7,0)+IF(ISNUMBER(T55),6,0)+IF(ISNUMBER(T61),7,0)))</f>
        <v/>
      </c>
      <c r="U67" s="39" t="str">
        <f>IF((IF(ISNUMBER(U37),6,0)+IF(ISNUMBER(U43),7,0)+IF(ISNUMBER(U49),7,0)+IF(ISNUMBER(U55),6,0)+IF(ISNUMBER(U61),7,0))=0,"",(IF(ISNUMBER(U37),U37*6,0)+IF(ISNUMBER(U43),U43*7,0)+IF(ISNUMBER(U49),U49*7,0)+IF(ISNUMBER(U55),U55*6,0)+IF(ISNUMBER(U61),U61*7,0))/(IF(ISNUMBER(U37),6,0)+IF(ISNUMBER(U43),7,0)+IF(ISNUMBER(U49),7,0)+IF(ISNUMBER(U55),6,0)+IF(ISNUMBER(U61),7,0)))</f>
        <v/>
      </c>
      <c r="V67" s="39" t="str">
        <f>IF((IF(ISNUMBER(V37),6,0)+IF(ISNUMBER(V43),7,0)+IF(ISNUMBER(V49),7,0)+IF(ISNUMBER(V55),6,0)+IF(ISNUMBER(V61),7,0))=0,"",(IF(ISNUMBER(V37),V37*6,0)+IF(ISNUMBER(V43),V43*7,0)+IF(ISNUMBER(V49),V49*7,0)+IF(ISNUMBER(V55),V55*6,0)+IF(ISNUMBER(V61),V61*7,0))/(IF(ISNUMBER(V37),6,0)+IF(ISNUMBER(V43),7,0)+IF(ISNUMBER(V49),7,0)+IF(ISNUMBER(V55),6,0)+IF(ISNUMBER(V61),7,0)))</f>
        <v/>
      </c>
      <c r="W67" s="39" t="str">
        <f>IF((IF(ISNUMBER(W37),6,0)+IF(ISNUMBER(W43),7,0)+IF(ISNUMBER(W49),7,0)+IF(ISNUMBER(W55),6,0)+IF(ISNUMBER(W61),7,0))=0,"",(IF(ISNUMBER(W37),W37*6,0)+IF(ISNUMBER(W43),W43*7,0)+IF(ISNUMBER(W49),W49*7,0)+IF(ISNUMBER(W55),W55*6,0)+IF(ISNUMBER(W61),W61*7,0))/(IF(ISNUMBER(W37),6,0)+IF(ISNUMBER(W43),7,0)+IF(ISNUMBER(W49),7,0)+IF(ISNUMBER(W55),6,0)+IF(ISNUMBER(W61),7,0)))</f>
        <v/>
      </c>
      <c r="X67" s="39" t="str">
        <f>IF((IF(ISNUMBER(X37),6,0)+IF(ISNUMBER(X43),7,0)+IF(ISNUMBER(X49),7,0)+IF(ISNUMBER(X55),6,0)+IF(ISNUMBER(X61),7,0))=0,"",(IF(ISNUMBER(X37),X37*6,0)+IF(ISNUMBER(X43),X43*7,0)+IF(ISNUMBER(X49),X49*7,0)+IF(ISNUMBER(X55),X55*6,0)+IF(ISNUMBER(X61),X61*7,0))/(IF(ISNUMBER(X37),6,0)+IF(ISNUMBER(X43),7,0)+IF(ISNUMBER(X49),7,0)+IF(ISNUMBER(X55),6,0)+IF(ISNUMBER(X61),7,0)))</f>
        <v/>
      </c>
      <c r="Y67" s="39" t="str">
        <f>IF((IF(ISNUMBER(Y37),6,0)+IF(ISNUMBER(Y43),7,0)+IF(ISNUMBER(Y49),7,0)+IF(ISNUMBER(Y55),6,0)+IF(ISNUMBER(Y61),7,0))=0,"",(IF(ISNUMBER(Y37),Y37*6,0)+IF(ISNUMBER(Y43),Y43*7,0)+IF(ISNUMBER(Y49),Y49*7,0)+IF(ISNUMBER(Y55),Y55*6,0)+IF(ISNUMBER(Y61),Y61*7,0))/(IF(ISNUMBER(Y37),6,0)+IF(ISNUMBER(Y43),7,0)+IF(ISNUMBER(Y49),7,0)+IF(ISNUMBER(Y55),6,0)+IF(ISNUMBER(Y61),7,0)))</f>
        <v/>
      </c>
      <c r="Z67" s="39" t="str">
        <f>_xlfn.IFERROR(AVERAGE(E67:Y67),"")</f>
        <v/>
      </c>
    </row>
    <row r="68" spans="8:8" ht="20.0" customHeight="1">
      <c r="A68" s="18" t="s">
        <v>1279</v>
      </c>
    </row>
    <row r="69" spans="8:8" ht="28.0" customHeight="1">
      <c r="A69" s="28"/>
      <c r="B69" s="29" t="s">
        <v>1171</v>
      </c>
      <c r="C69" s="30" t="s">
        <v>1172</v>
      </c>
      <c r="D69" s="29">
        <v>7.0</v>
      </c>
      <c r="E69" s="31" t="str">
        <f>IF(COUNTA(E70:E74)=0,"",COUNTIF(E70:E74,"Ya")/5*100)</f>
        <v/>
      </c>
      <c r="F69" s="31" t="str">
        <f>IF(COUNTA(F70:F74)=0,"",COUNTIF(F70:F74,"Ya")/5*100)</f>
        <v/>
      </c>
      <c r="G69" s="31" t="str">
        <f>IF(COUNTA(G70:G74)=0,"",COUNTIF(G70:G74,"Ya")/5*100)</f>
        <v/>
      </c>
      <c r="H69" s="31" t="str">
        <f>IF(COUNTA(H70:H74)=0,"",COUNTIF(H70:H74,"Ya")/5*100)</f>
        <v/>
      </c>
      <c r="I69" s="31" t="str">
        <f>IF(COUNTA(I70:I74)=0,"",COUNTIF(I70:I74,"Ya")/5*100)</f>
        <v/>
      </c>
      <c r="J69" s="31" t="str">
        <f>IF(COUNTA(J70:J74)=0,"",COUNTIF(J70:J74,"Ya")/5*100)</f>
        <v/>
      </c>
      <c r="K69" s="31" t="str">
        <f>IF(COUNTA(K70:K74)=0,"",COUNTIF(K70:K74,"Ya")/5*100)</f>
        <v/>
      </c>
      <c r="L69" s="31" t="str">
        <f>IF(COUNTA(L70:L74)=0,"",COUNTIF(L70:L74,"Ya")/5*100)</f>
        <v/>
      </c>
      <c r="M69" s="31" t="str">
        <f>IF(COUNTA(M70:M74)=0,"",COUNTIF(M70:M74,"Ya")/5*100)</f>
        <v/>
      </c>
      <c r="N69" s="31" t="str">
        <f>IF(COUNTA(N70:N74)=0,"",COUNTIF(N70:N74,"Ya")/5*100)</f>
        <v/>
      </c>
      <c r="O69" s="31" t="str">
        <f>IF(COUNTA(O70:O74)=0,"",COUNTIF(O70:O74,"Ya")/5*100)</f>
        <v/>
      </c>
      <c r="P69" s="31" t="str">
        <f>IF(COUNTA(P70:P74)=0,"",COUNTIF(P70:P74,"Ya")/5*100)</f>
        <v/>
      </c>
      <c r="Q69" s="31" t="str">
        <f>IF(COUNTA(Q70:Q74)=0,"",COUNTIF(Q70:Q74,"Ya")/5*100)</f>
        <v/>
      </c>
      <c r="R69" s="31" t="str">
        <f>IF(COUNTA(R70:R74)=0,"",COUNTIF(R70:R74,"Ya")/5*100)</f>
        <v/>
      </c>
      <c r="S69" s="31" t="str">
        <f>IF(COUNTA(S70:S74)=0,"",COUNTIF(S70:S74,"Ya")/5*100)</f>
        <v/>
      </c>
      <c r="T69" s="31" t="str">
        <f>IF(COUNTA(T70:T74)=0,"",COUNTIF(T70:T74,"Ya")/5*100)</f>
        <v/>
      </c>
      <c r="U69" s="31" t="str">
        <f>IF(COUNTA(U70:U74)=0,"",COUNTIF(U70:U74,"Ya")/5*100)</f>
        <v/>
      </c>
      <c r="V69" s="31" t="str">
        <f>IF(COUNTA(V70:V74)=0,"",COUNTIF(V70:V74,"Ya")/5*100)</f>
        <v/>
      </c>
      <c r="W69" s="31" t="str">
        <f>IF(COUNTA(W70:W74)=0,"",COUNTIF(W70:W74,"Ya")/5*100)</f>
        <v/>
      </c>
      <c r="X69" s="31" t="str">
        <f>IF(COUNTA(X70:X74)=0,"",COUNTIF(X70:X74,"Ya")/5*100)</f>
        <v/>
      </c>
      <c r="Y69" s="31" t="str">
        <f>IF(COUNTA(Y70:Y74)=0,"",COUNTIF(Y70:Y74,"Ya")/5*100)</f>
        <v/>
      </c>
      <c r="Z69" s="31" t="str">
        <f>_xlfn.IFERROR(AVERAGE(E69:Y69),"")</f>
        <v/>
      </c>
    </row>
    <row r="70" spans="8:8" ht="25.0" customHeight="1">
      <c r="A70" s="32"/>
      <c r="B70" s="33" t="s">
        <v>1280</v>
      </c>
      <c r="C70" s="34" t="s">
        <v>1281</v>
      </c>
      <c r="D70" s="32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8:8" ht="25.0" customHeight="1">
      <c r="A71" s="32"/>
      <c r="B71" s="33" t="s">
        <v>1282</v>
      </c>
      <c r="C71" s="34" t="s">
        <v>1283</v>
      </c>
      <c r="D71" s="32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spans="8:8" ht="25.0" customHeight="1">
      <c r="A72" s="32"/>
      <c r="B72" s="33" t="s">
        <v>1284</v>
      </c>
      <c r="C72" s="34" t="s">
        <v>1285</v>
      </c>
      <c r="D72" s="32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8:8" ht="25.0" customHeight="1">
      <c r="A73" s="32"/>
      <c r="B73" s="33" t="s">
        <v>1286</v>
      </c>
      <c r="C73" s="34" t="s">
        <v>1287</v>
      </c>
      <c r="D73" s="32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8:8" ht="25.0" customHeight="1">
      <c r="A74" s="32"/>
      <c r="B74" s="33" t="s">
        <v>1288</v>
      </c>
      <c r="C74" s="34" t="s">
        <v>1289</v>
      </c>
      <c r="D74" s="32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8:8" ht="28.0" customHeight="1">
      <c r="A75" s="28"/>
      <c r="B75" s="29" t="s">
        <v>1173</v>
      </c>
      <c r="C75" s="30" t="s">
        <v>1174</v>
      </c>
      <c r="D75" s="29">
        <v>7.0</v>
      </c>
      <c r="E75" s="31" t="str">
        <f>IF(COUNTA(E76:E80)=0,"",COUNTIF(E76:E80,"Ya")/5*100)</f>
        <v/>
      </c>
      <c r="F75" s="31" t="str">
        <f>IF(COUNTA(F76:F80)=0,"",COUNTIF(F76:F80,"Ya")/5*100)</f>
        <v/>
      </c>
      <c r="G75" s="31" t="str">
        <f>IF(COUNTA(G76:G80)=0,"",COUNTIF(G76:G80,"Ya")/5*100)</f>
        <v/>
      </c>
      <c r="H75" s="31" t="str">
        <f>IF(COUNTA(H76:H80)=0,"",COUNTIF(H76:H80,"Ya")/5*100)</f>
        <v/>
      </c>
      <c r="I75" s="31" t="str">
        <f>IF(COUNTA(I76:I80)=0,"",COUNTIF(I76:I80,"Ya")/5*100)</f>
        <v/>
      </c>
      <c r="J75" s="31" t="str">
        <f>IF(COUNTA(J76:J80)=0,"",COUNTIF(J76:J80,"Ya")/5*100)</f>
        <v/>
      </c>
      <c r="K75" s="31" t="str">
        <f>IF(COUNTA(K76:K80)=0,"",COUNTIF(K76:K80,"Ya")/5*100)</f>
        <v/>
      </c>
      <c r="L75" s="31" t="str">
        <f>IF(COUNTA(L76:L80)=0,"",COUNTIF(L76:L80,"Ya")/5*100)</f>
        <v/>
      </c>
      <c r="M75" s="31" t="str">
        <f>IF(COUNTA(M76:M80)=0,"",COUNTIF(M76:M80,"Ya")/5*100)</f>
        <v/>
      </c>
      <c r="N75" s="31" t="str">
        <f>IF(COUNTA(N76:N80)=0,"",COUNTIF(N76:N80,"Ya")/5*100)</f>
        <v/>
      </c>
      <c r="O75" s="31" t="str">
        <f>IF(COUNTA(O76:O80)=0,"",COUNTIF(O76:O80,"Ya")/5*100)</f>
        <v/>
      </c>
      <c r="P75" s="31" t="str">
        <f>IF(COUNTA(P76:P80)=0,"",COUNTIF(P76:P80,"Ya")/5*100)</f>
        <v/>
      </c>
      <c r="Q75" s="31" t="str">
        <f>IF(COUNTA(Q76:Q80)=0,"",COUNTIF(Q76:Q80,"Ya")/5*100)</f>
        <v/>
      </c>
      <c r="R75" s="31" t="str">
        <f>IF(COUNTA(R76:R80)=0,"",COUNTIF(R76:R80,"Ya")/5*100)</f>
        <v/>
      </c>
      <c r="S75" s="31" t="str">
        <f>IF(COUNTA(S76:S80)=0,"",COUNTIF(S76:S80,"Ya")/5*100)</f>
        <v/>
      </c>
      <c r="T75" s="31" t="str">
        <f>IF(COUNTA(T76:T80)=0,"",COUNTIF(T76:T80,"Ya")/5*100)</f>
        <v/>
      </c>
      <c r="U75" s="31" t="str">
        <f>IF(COUNTA(U76:U80)=0,"",COUNTIF(U76:U80,"Ya")/5*100)</f>
        <v/>
      </c>
      <c r="V75" s="31" t="str">
        <f>IF(COUNTA(V76:V80)=0,"",COUNTIF(V76:V80,"Ya")/5*100)</f>
        <v/>
      </c>
      <c r="W75" s="31" t="str">
        <f>IF(COUNTA(W76:W80)=0,"",COUNTIF(W76:W80,"Ya")/5*100)</f>
        <v/>
      </c>
      <c r="X75" s="31" t="str">
        <f>IF(COUNTA(X76:X80)=0,"",COUNTIF(X76:X80,"Ya")/5*100)</f>
        <v/>
      </c>
      <c r="Y75" s="31" t="str">
        <f>IF(COUNTA(Y76:Y80)=0,"",COUNTIF(Y76:Y80,"Ya")/5*100)</f>
        <v/>
      </c>
      <c r="Z75" s="31" t="str">
        <f>_xlfn.IFERROR(AVERAGE(E75:Y75),"")</f>
        <v/>
      </c>
    </row>
    <row r="76" spans="8:8" ht="25.0" customHeight="1">
      <c r="A76" s="32"/>
      <c r="B76" s="33" t="s">
        <v>1290</v>
      </c>
      <c r="C76" s="34" t="s">
        <v>1291</v>
      </c>
      <c r="D76" s="32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8:8" ht="25.0" customHeight="1">
      <c r="A77" s="32"/>
      <c r="B77" s="33" t="s">
        <v>1292</v>
      </c>
      <c r="C77" s="34" t="s">
        <v>1293</v>
      </c>
      <c r="D77" s="32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spans="8:8" ht="25.0" customHeight="1">
      <c r="A78" s="32"/>
      <c r="B78" s="33" t="s">
        <v>1294</v>
      </c>
      <c r="C78" s="34" t="s">
        <v>1295</v>
      </c>
      <c r="D78" s="32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8:8" ht="14.0" customHeight="1">
      <c r="A79" s="32"/>
      <c r="B79" s="33" t="s">
        <v>1296</v>
      </c>
      <c r="C79" s="34" t="s">
        <v>1297</v>
      </c>
      <c r="D79" s="32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8:8" ht="25.0" customHeight="1">
      <c r="A80" s="32"/>
      <c r="B80" s="33" t="s">
        <v>1298</v>
      </c>
      <c r="C80" s="34" t="s">
        <v>1289</v>
      </c>
      <c r="D80" s="32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8:8" ht="28.0" customHeight="1">
      <c r="A81" s="28"/>
      <c r="B81" s="29" t="s">
        <v>1175</v>
      </c>
      <c r="C81" s="30" t="s">
        <v>1176</v>
      </c>
      <c r="D81" s="29">
        <v>6.0</v>
      </c>
      <c r="E81" s="31" t="str">
        <f>IF(COUNTA(E82:E86)=0,"",COUNTIF(E82:E86,"Ya")/5*100)</f>
        <v/>
      </c>
      <c r="F81" s="31" t="str">
        <f>IF(COUNTA(F82:F86)=0,"",COUNTIF(F82:F86,"Ya")/5*100)</f>
        <v/>
      </c>
      <c r="G81" s="31" t="str">
        <f>IF(COUNTA(G82:G86)=0,"",COUNTIF(G82:G86,"Ya")/5*100)</f>
        <v/>
      </c>
      <c r="H81" s="31" t="str">
        <f>IF(COUNTA(H82:H86)=0,"",COUNTIF(H82:H86,"Ya")/5*100)</f>
        <v/>
      </c>
      <c r="I81" s="31" t="str">
        <f>IF(COUNTA(I82:I86)=0,"",COUNTIF(I82:I86,"Ya")/5*100)</f>
        <v/>
      </c>
      <c r="J81" s="31" t="str">
        <f>IF(COUNTA(J82:J86)=0,"",COUNTIF(J82:J86,"Ya")/5*100)</f>
        <v/>
      </c>
      <c r="K81" s="31" t="str">
        <f>IF(COUNTA(K82:K86)=0,"",COUNTIF(K82:K86,"Ya")/5*100)</f>
        <v/>
      </c>
      <c r="L81" s="31" t="str">
        <f>IF(COUNTA(L82:L86)=0,"",COUNTIF(L82:L86,"Ya")/5*100)</f>
        <v/>
      </c>
      <c r="M81" s="31" t="str">
        <f>IF(COUNTA(M82:M86)=0,"",COUNTIF(M82:M86,"Ya")/5*100)</f>
        <v/>
      </c>
      <c r="N81" s="31" t="str">
        <f>IF(COUNTA(N82:N86)=0,"",COUNTIF(N82:N86,"Ya")/5*100)</f>
        <v/>
      </c>
      <c r="O81" s="31" t="str">
        <f>IF(COUNTA(O82:O86)=0,"",COUNTIF(O82:O86,"Ya")/5*100)</f>
        <v/>
      </c>
      <c r="P81" s="31" t="str">
        <f>IF(COUNTA(P82:P86)=0,"",COUNTIF(P82:P86,"Ya")/5*100)</f>
        <v/>
      </c>
      <c r="Q81" s="31" t="str">
        <f>IF(COUNTA(Q82:Q86)=0,"",COUNTIF(Q82:Q86,"Ya")/5*100)</f>
        <v/>
      </c>
      <c r="R81" s="31" t="str">
        <f>IF(COUNTA(R82:R86)=0,"",COUNTIF(R82:R86,"Ya")/5*100)</f>
        <v/>
      </c>
      <c r="S81" s="31" t="str">
        <f>IF(COUNTA(S82:S86)=0,"",COUNTIF(S82:S86,"Ya")/5*100)</f>
        <v/>
      </c>
      <c r="T81" s="31" t="str">
        <f>IF(COUNTA(T82:T86)=0,"",COUNTIF(T82:T86,"Ya")/5*100)</f>
        <v/>
      </c>
      <c r="U81" s="31" t="str">
        <f>IF(COUNTA(U82:U86)=0,"",COUNTIF(U82:U86,"Ya")/5*100)</f>
        <v/>
      </c>
      <c r="V81" s="31" t="str">
        <f>IF(COUNTA(V82:V86)=0,"",COUNTIF(V82:V86,"Ya")/5*100)</f>
        <v/>
      </c>
      <c r="W81" s="31" t="str">
        <f>IF(COUNTA(W82:W86)=0,"",COUNTIF(W82:W86,"Ya")/5*100)</f>
        <v/>
      </c>
      <c r="X81" s="31" t="str">
        <f>IF(COUNTA(X82:X86)=0,"",COUNTIF(X82:X86,"Ya")/5*100)</f>
        <v/>
      </c>
      <c r="Y81" s="31" t="str">
        <f>IF(COUNTA(Y82:Y86)=0,"",COUNTIF(Y82:Y86,"Ya")/5*100)</f>
        <v/>
      </c>
      <c r="Z81" s="31" t="str">
        <f>_xlfn.IFERROR(AVERAGE(E81:Y81),"")</f>
        <v/>
      </c>
    </row>
    <row r="82" spans="8:8" ht="25.0" customHeight="1">
      <c r="A82" s="32"/>
      <c r="B82" s="33" t="s">
        <v>1299</v>
      </c>
      <c r="C82" s="34" t="s">
        <v>1300</v>
      </c>
      <c r="D82" s="32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8:8" ht="25.0" customHeight="1">
      <c r="A83" s="32"/>
      <c r="B83" s="33" t="s">
        <v>1301</v>
      </c>
      <c r="C83" s="34" t="s">
        <v>1302</v>
      </c>
      <c r="D83" s="32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spans="8:8" ht="25.0" customHeight="1">
      <c r="A84" s="32"/>
      <c r="B84" s="33" t="s">
        <v>1303</v>
      </c>
      <c r="C84" s="34" t="s">
        <v>1304</v>
      </c>
      <c r="D84" s="32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8:8" ht="25.0" customHeight="1">
      <c r="A85" s="32"/>
      <c r="B85" s="33" t="s">
        <v>1305</v>
      </c>
      <c r="C85" s="34" t="s">
        <v>1306</v>
      </c>
      <c r="D85" s="32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8:8" ht="25.0" customHeight="1">
      <c r="A86" s="32"/>
      <c r="B86" s="33" t="s">
        <v>1307</v>
      </c>
      <c r="C86" s="34" t="s">
        <v>1308</v>
      </c>
      <c r="D86" s="32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8:8" ht="18.0" customHeight="1">
      <c r="A87" s="36"/>
      <c r="B87" s="36"/>
      <c r="C87" s="37" t="s">
        <v>1309</v>
      </c>
      <c r="D87" s="38">
        <v>20.0</v>
      </c>
      <c r="E87" s="39" t="str">
        <f>IF((IF(ISNUMBER(E69),7,0)+IF(ISNUMBER(E75),7,0)+IF(ISNUMBER(E81),6,0))=0,"",(IF(ISNUMBER(E69),E69*7,0)+IF(ISNUMBER(E75),E75*7,0)+IF(ISNUMBER(E81),E81*6,0))/(IF(ISNUMBER(E69),7,0)+IF(ISNUMBER(E75),7,0)+IF(ISNUMBER(E81),6,0)))</f>
        <v/>
      </c>
      <c r="F87" s="39" t="str">
        <f>IF((IF(ISNUMBER(F69),7,0)+IF(ISNUMBER(F75),7,0)+IF(ISNUMBER(F81),6,0))=0,"",(IF(ISNUMBER(F69),F69*7,0)+IF(ISNUMBER(F75),F75*7,0)+IF(ISNUMBER(F81),F81*6,0))/(IF(ISNUMBER(F69),7,0)+IF(ISNUMBER(F75),7,0)+IF(ISNUMBER(F81),6,0)))</f>
        <v/>
      </c>
      <c r="G87" s="39" t="str">
        <f>IF((IF(ISNUMBER(G69),7,0)+IF(ISNUMBER(G75),7,0)+IF(ISNUMBER(G81),6,0))=0,"",(IF(ISNUMBER(G69),G69*7,0)+IF(ISNUMBER(G75),G75*7,0)+IF(ISNUMBER(G81),G81*6,0))/(IF(ISNUMBER(G69),7,0)+IF(ISNUMBER(G75),7,0)+IF(ISNUMBER(G81),6,0)))</f>
        <v/>
      </c>
      <c r="H87" s="39" t="str">
        <f>IF((IF(ISNUMBER(H69),7,0)+IF(ISNUMBER(H75),7,0)+IF(ISNUMBER(H81),6,0))=0,"",(IF(ISNUMBER(H69),H69*7,0)+IF(ISNUMBER(H75),H75*7,0)+IF(ISNUMBER(H81),H81*6,0))/(IF(ISNUMBER(H69),7,0)+IF(ISNUMBER(H75),7,0)+IF(ISNUMBER(H81),6,0)))</f>
        <v/>
      </c>
      <c r="I87" s="39" t="str">
        <f>IF((IF(ISNUMBER(I69),7,0)+IF(ISNUMBER(I75),7,0)+IF(ISNUMBER(I81),6,0))=0,"",(IF(ISNUMBER(I69),I69*7,0)+IF(ISNUMBER(I75),I75*7,0)+IF(ISNUMBER(I81),I81*6,0))/(IF(ISNUMBER(I69),7,0)+IF(ISNUMBER(I75),7,0)+IF(ISNUMBER(I81),6,0)))</f>
        <v/>
      </c>
      <c r="J87" s="39" t="str">
        <f>IF((IF(ISNUMBER(J69),7,0)+IF(ISNUMBER(J75),7,0)+IF(ISNUMBER(J81),6,0))=0,"",(IF(ISNUMBER(J69),J69*7,0)+IF(ISNUMBER(J75),J75*7,0)+IF(ISNUMBER(J81),J81*6,0))/(IF(ISNUMBER(J69),7,0)+IF(ISNUMBER(J75),7,0)+IF(ISNUMBER(J81),6,0)))</f>
        <v/>
      </c>
      <c r="K87" s="39" t="str">
        <f>IF((IF(ISNUMBER(K69),7,0)+IF(ISNUMBER(K75),7,0)+IF(ISNUMBER(K81),6,0))=0,"",(IF(ISNUMBER(K69),K69*7,0)+IF(ISNUMBER(K75),K75*7,0)+IF(ISNUMBER(K81),K81*6,0))/(IF(ISNUMBER(K69),7,0)+IF(ISNUMBER(K75),7,0)+IF(ISNUMBER(K81),6,0)))</f>
        <v/>
      </c>
      <c r="L87" s="39" t="str">
        <f>IF((IF(ISNUMBER(L69),7,0)+IF(ISNUMBER(L75),7,0)+IF(ISNUMBER(L81),6,0))=0,"",(IF(ISNUMBER(L69),L69*7,0)+IF(ISNUMBER(L75),L75*7,0)+IF(ISNUMBER(L81),L81*6,0))/(IF(ISNUMBER(L69),7,0)+IF(ISNUMBER(L75),7,0)+IF(ISNUMBER(L81),6,0)))</f>
        <v/>
      </c>
      <c r="M87" s="39" t="str">
        <f>IF((IF(ISNUMBER(M69),7,0)+IF(ISNUMBER(M75),7,0)+IF(ISNUMBER(M81),6,0))=0,"",(IF(ISNUMBER(M69),M69*7,0)+IF(ISNUMBER(M75),M75*7,0)+IF(ISNUMBER(M81),M81*6,0))/(IF(ISNUMBER(M69),7,0)+IF(ISNUMBER(M75),7,0)+IF(ISNUMBER(M81),6,0)))</f>
        <v/>
      </c>
      <c r="N87" s="39" t="str">
        <f>IF((IF(ISNUMBER(N69),7,0)+IF(ISNUMBER(N75),7,0)+IF(ISNUMBER(N81),6,0))=0,"",(IF(ISNUMBER(N69),N69*7,0)+IF(ISNUMBER(N75),N75*7,0)+IF(ISNUMBER(N81),N81*6,0))/(IF(ISNUMBER(N69),7,0)+IF(ISNUMBER(N75),7,0)+IF(ISNUMBER(N81),6,0)))</f>
        <v/>
      </c>
      <c r="O87" s="39" t="str">
        <f>IF((IF(ISNUMBER(O69),7,0)+IF(ISNUMBER(O75),7,0)+IF(ISNUMBER(O81),6,0))=0,"",(IF(ISNUMBER(O69),O69*7,0)+IF(ISNUMBER(O75),O75*7,0)+IF(ISNUMBER(O81),O81*6,0))/(IF(ISNUMBER(O69),7,0)+IF(ISNUMBER(O75),7,0)+IF(ISNUMBER(O81),6,0)))</f>
        <v/>
      </c>
      <c r="P87" s="39" t="str">
        <f>IF((IF(ISNUMBER(P69),7,0)+IF(ISNUMBER(P75),7,0)+IF(ISNUMBER(P81),6,0))=0,"",(IF(ISNUMBER(P69),P69*7,0)+IF(ISNUMBER(P75),P75*7,0)+IF(ISNUMBER(P81),P81*6,0))/(IF(ISNUMBER(P69),7,0)+IF(ISNUMBER(P75),7,0)+IF(ISNUMBER(P81),6,0)))</f>
        <v/>
      </c>
      <c r="Q87" s="39" t="str">
        <f>IF((IF(ISNUMBER(Q69),7,0)+IF(ISNUMBER(Q75),7,0)+IF(ISNUMBER(Q81),6,0))=0,"",(IF(ISNUMBER(Q69),Q69*7,0)+IF(ISNUMBER(Q75),Q75*7,0)+IF(ISNUMBER(Q81),Q81*6,0))/(IF(ISNUMBER(Q69),7,0)+IF(ISNUMBER(Q75),7,0)+IF(ISNUMBER(Q81),6,0)))</f>
        <v/>
      </c>
      <c r="R87" s="39" t="str">
        <f>IF((IF(ISNUMBER(R69),7,0)+IF(ISNUMBER(R75),7,0)+IF(ISNUMBER(R81),6,0))=0,"",(IF(ISNUMBER(R69),R69*7,0)+IF(ISNUMBER(R75),R75*7,0)+IF(ISNUMBER(R81),R81*6,0))/(IF(ISNUMBER(R69),7,0)+IF(ISNUMBER(R75),7,0)+IF(ISNUMBER(R81),6,0)))</f>
        <v/>
      </c>
      <c r="S87" s="39" t="str">
        <f>IF((IF(ISNUMBER(S69),7,0)+IF(ISNUMBER(S75),7,0)+IF(ISNUMBER(S81),6,0))=0,"",(IF(ISNUMBER(S69),S69*7,0)+IF(ISNUMBER(S75),S75*7,0)+IF(ISNUMBER(S81),S81*6,0))/(IF(ISNUMBER(S69),7,0)+IF(ISNUMBER(S75),7,0)+IF(ISNUMBER(S81),6,0)))</f>
        <v/>
      </c>
      <c r="T87" s="39" t="str">
        <f>IF((IF(ISNUMBER(T69),7,0)+IF(ISNUMBER(T75),7,0)+IF(ISNUMBER(T81),6,0))=0,"",(IF(ISNUMBER(T69),T69*7,0)+IF(ISNUMBER(T75),T75*7,0)+IF(ISNUMBER(T81),T81*6,0))/(IF(ISNUMBER(T69),7,0)+IF(ISNUMBER(T75),7,0)+IF(ISNUMBER(T81),6,0)))</f>
        <v/>
      </c>
      <c r="U87" s="39" t="str">
        <f>IF((IF(ISNUMBER(U69),7,0)+IF(ISNUMBER(U75),7,0)+IF(ISNUMBER(U81),6,0))=0,"",(IF(ISNUMBER(U69),U69*7,0)+IF(ISNUMBER(U75),U75*7,0)+IF(ISNUMBER(U81),U81*6,0))/(IF(ISNUMBER(U69),7,0)+IF(ISNUMBER(U75),7,0)+IF(ISNUMBER(U81),6,0)))</f>
        <v/>
      </c>
      <c r="V87" s="39" t="str">
        <f>IF((IF(ISNUMBER(V69),7,0)+IF(ISNUMBER(V75),7,0)+IF(ISNUMBER(V81),6,0))=0,"",(IF(ISNUMBER(V69),V69*7,0)+IF(ISNUMBER(V75),V75*7,0)+IF(ISNUMBER(V81),V81*6,0))/(IF(ISNUMBER(V69),7,0)+IF(ISNUMBER(V75),7,0)+IF(ISNUMBER(V81),6,0)))</f>
        <v/>
      </c>
      <c r="W87" s="39" t="str">
        <f>IF((IF(ISNUMBER(W69),7,0)+IF(ISNUMBER(W75),7,0)+IF(ISNUMBER(W81),6,0))=0,"",(IF(ISNUMBER(W69),W69*7,0)+IF(ISNUMBER(W75),W75*7,0)+IF(ISNUMBER(W81),W81*6,0))/(IF(ISNUMBER(W69),7,0)+IF(ISNUMBER(W75),7,0)+IF(ISNUMBER(W81),6,0)))</f>
        <v/>
      </c>
      <c r="X87" s="39" t="str">
        <f>IF((IF(ISNUMBER(X69),7,0)+IF(ISNUMBER(X75),7,0)+IF(ISNUMBER(X81),6,0))=0,"",(IF(ISNUMBER(X69),X69*7,0)+IF(ISNUMBER(X75),X75*7,0)+IF(ISNUMBER(X81),X81*6,0))/(IF(ISNUMBER(X69),7,0)+IF(ISNUMBER(X75),7,0)+IF(ISNUMBER(X81),6,0)))</f>
        <v/>
      </c>
      <c r="Y87" s="39" t="str">
        <f>IF((IF(ISNUMBER(Y69),7,0)+IF(ISNUMBER(Y75),7,0)+IF(ISNUMBER(Y81),6,0))=0,"",(IF(ISNUMBER(Y69),Y69*7,0)+IF(ISNUMBER(Y75),Y75*7,0)+IF(ISNUMBER(Y81),Y81*6,0))/(IF(ISNUMBER(Y69),7,0)+IF(ISNUMBER(Y75),7,0)+IF(ISNUMBER(Y81),6,0)))</f>
        <v/>
      </c>
      <c r="Z87" s="39" t="str">
        <f>_xlfn.IFERROR(AVERAGE(E87:Y87),"")</f>
        <v/>
      </c>
    </row>
    <row r="88" spans="8:8" ht="20.0" customHeight="1">
      <c r="A88" s="18" t="s">
        <v>1310</v>
      </c>
    </row>
    <row r="89" spans="8:8" ht="28.0" customHeight="1">
      <c r="A89" s="28"/>
      <c r="B89" s="29" t="s">
        <v>1178</v>
      </c>
      <c r="C89" s="30" t="s">
        <v>1179</v>
      </c>
      <c r="D89" s="29">
        <v>50.0</v>
      </c>
      <c r="E89" s="31" t="str">
        <f>IF(COUNTA(E90:E94)=0,"",COUNTIF(E90:E94,"Ya")/5*100)</f>
        <v/>
      </c>
      <c r="F89" s="31" t="str">
        <f>IF(COUNTA(F90:F94)=0,"",COUNTIF(F90:F94,"Ya")/5*100)</f>
        <v/>
      </c>
      <c r="G89" s="31" t="str">
        <f>IF(COUNTA(G90:G94)=0,"",COUNTIF(G90:G94,"Ya")/5*100)</f>
        <v/>
      </c>
      <c r="H89" s="31" t="str">
        <f>IF(COUNTA(H90:H94)=0,"",COUNTIF(H90:H94,"Ya")/5*100)</f>
        <v/>
      </c>
      <c r="I89" s="31" t="str">
        <f>IF(COUNTA(I90:I94)=0,"",COUNTIF(I90:I94,"Ya")/5*100)</f>
        <v/>
      </c>
      <c r="J89" s="31" t="str">
        <f>IF(COUNTA(J90:J94)=0,"",COUNTIF(J90:J94,"Ya")/5*100)</f>
        <v/>
      </c>
      <c r="K89" s="31" t="str">
        <f>IF(COUNTA(K90:K94)=0,"",COUNTIF(K90:K94,"Ya")/5*100)</f>
        <v/>
      </c>
      <c r="L89" s="31" t="str">
        <f>IF(COUNTA(L90:L94)=0,"",COUNTIF(L90:L94,"Ya")/5*100)</f>
        <v/>
      </c>
      <c r="M89" s="31" t="str">
        <f>IF(COUNTA(M90:M94)=0,"",COUNTIF(M90:M94,"Ya")/5*100)</f>
        <v/>
      </c>
      <c r="N89" s="31" t="str">
        <f>IF(COUNTA(N90:N94)=0,"",COUNTIF(N90:N94,"Ya")/5*100)</f>
        <v/>
      </c>
      <c r="O89" s="31" t="str">
        <f>IF(COUNTA(O90:O94)=0,"",COUNTIF(O90:O94,"Ya")/5*100)</f>
        <v/>
      </c>
      <c r="P89" s="31" t="str">
        <f>IF(COUNTA(P90:P94)=0,"",COUNTIF(P90:P94,"Ya")/5*100)</f>
        <v/>
      </c>
      <c r="Q89" s="31" t="str">
        <f>IF(COUNTA(Q90:Q94)=0,"",COUNTIF(Q90:Q94,"Ya")/5*100)</f>
        <v/>
      </c>
      <c r="R89" s="31" t="str">
        <f>IF(COUNTA(R90:R94)=0,"",COUNTIF(R90:R94,"Ya")/5*100)</f>
        <v/>
      </c>
      <c r="S89" s="31" t="str">
        <f>IF(COUNTA(S90:S94)=0,"",COUNTIF(S90:S94,"Ya")/5*100)</f>
        <v/>
      </c>
      <c r="T89" s="31" t="str">
        <f>IF(COUNTA(T90:T94)=0,"",COUNTIF(T90:T94,"Ya")/5*100)</f>
        <v/>
      </c>
      <c r="U89" s="31" t="str">
        <f>IF(COUNTA(U90:U94)=0,"",COUNTIF(U90:U94,"Ya")/5*100)</f>
        <v/>
      </c>
      <c r="V89" s="31" t="str">
        <f>IF(COUNTA(V90:V94)=0,"",COUNTIF(V90:V94,"Ya")/5*100)</f>
        <v/>
      </c>
      <c r="W89" s="31" t="str">
        <f>IF(COUNTA(W90:W94)=0,"",COUNTIF(W90:W94,"Ya")/5*100)</f>
        <v/>
      </c>
      <c r="X89" s="31" t="str">
        <f>IF(COUNTA(X90:X94)=0,"",COUNTIF(X90:X94,"Ya")/5*100)</f>
        <v/>
      </c>
      <c r="Y89" s="31" t="str">
        <f>IF(COUNTA(Y90:Y94)=0,"",COUNTIF(Y90:Y94,"Ya")/5*100)</f>
        <v/>
      </c>
      <c r="Z89" s="31" t="str">
        <f>_xlfn.IFERROR(AVERAGE(E89:Y89),"")</f>
        <v/>
      </c>
    </row>
    <row r="90" spans="8:8" ht="25.0" customHeight="1">
      <c r="A90" s="32"/>
      <c r="B90" s="33" t="s">
        <v>1311</v>
      </c>
      <c r="C90" s="34" t="s">
        <v>1312</v>
      </c>
      <c r="D90" s="32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spans="8:8" ht="25.0" customHeight="1">
      <c r="A91" s="32"/>
      <c r="B91" s="33" t="s">
        <v>1313</v>
      </c>
      <c r="C91" s="34" t="s">
        <v>1314</v>
      </c>
      <c r="D91" s="32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spans="8:8" ht="25.0" customHeight="1">
      <c r="A92" s="32"/>
      <c r="B92" s="33" t="s">
        <v>1315</v>
      </c>
      <c r="C92" s="34" t="s">
        <v>1316</v>
      </c>
      <c r="D92" s="32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spans="8:8" ht="25.0" customHeight="1">
      <c r="A93" s="32"/>
      <c r="B93" s="33" t="s">
        <v>1317</v>
      </c>
      <c r="C93" s="34" t="s">
        <v>1318</v>
      </c>
      <c r="D93" s="32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spans="8:8" ht="25.0" customHeight="1">
      <c r="A94" s="32"/>
      <c r="B94" s="33" t="s">
        <v>1319</v>
      </c>
      <c r="C94" s="34" t="s">
        <v>1320</v>
      </c>
      <c r="D94" s="32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spans="8:8" ht="28.0" customHeight="1">
      <c r="A95" s="28"/>
      <c r="B95" s="29" t="s">
        <v>1180</v>
      </c>
      <c r="C95" s="30" t="s">
        <v>1181</v>
      </c>
      <c r="D95" s="29">
        <v>50.0</v>
      </c>
      <c r="E95" s="31" t="str">
        <f>IF(COUNTA(E96:E100)=0,"",COUNTIF(E96:E100,"Ya")/5*100)</f>
        <v/>
      </c>
      <c r="F95" s="31" t="str">
        <f>IF(COUNTA(F96:F100)=0,"",COUNTIF(F96:F100,"Ya")/5*100)</f>
        <v/>
      </c>
      <c r="G95" s="31" t="str">
        <f>IF(COUNTA(G96:G100)=0,"",COUNTIF(G96:G100,"Ya")/5*100)</f>
        <v/>
      </c>
      <c r="H95" s="31" t="str">
        <f>IF(COUNTA(H96:H100)=0,"",COUNTIF(H96:H100,"Ya")/5*100)</f>
        <v/>
      </c>
      <c r="I95" s="31" t="str">
        <f>IF(COUNTA(I96:I100)=0,"",COUNTIF(I96:I100,"Ya")/5*100)</f>
        <v/>
      </c>
      <c r="J95" s="31" t="str">
        <f>IF(COUNTA(J96:J100)=0,"",COUNTIF(J96:J100,"Ya")/5*100)</f>
        <v/>
      </c>
      <c r="K95" s="31" t="str">
        <f>IF(COUNTA(K96:K100)=0,"",COUNTIF(K96:K100,"Ya")/5*100)</f>
        <v/>
      </c>
      <c r="L95" s="31" t="str">
        <f>IF(COUNTA(L96:L100)=0,"",COUNTIF(L96:L100,"Ya")/5*100)</f>
        <v/>
      </c>
      <c r="M95" s="31" t="str">
        <f>IF(COUNTA(M96:M100)=0,"",COUNTIF(M96:M100,"Ya")/5*100)</f>
        <v/>
      </c>
      <c r="N95" s="31" t="str">
        <f>IF(COUNTA(N96:N100)=0,"",COUNTIF(N96:N100,"Ya")/5*100)</f>
        <v/>
      </c>
      <c r="O95" s="31" t="str">
        <f>IF(COUNTA(O96:O100)=0,"",COUNTIF(O96:O100,"Ya")/5*100)</f>
        <v/>
      </c>
      <c r="P95" s="31" t="str">
        <f>IF(COUNTA(P96:P100)=0,"",COUNTIF(P96:P100,"Ya")/5*100)</f>
        <v/>
      </c>
      <c r="Q95" s="31" t="str">
        <f>IF(COUNTA(Q96:Q100)=0,"",COUNTIF(Q96:Q100,"Ya")/5*100)</f>
        <v/>
      </c>
      <c r="R95" s="31" t="str">
        <f>IF(COUNTA(R96:R100)=0,"",COUNTIF(R96:R100,"Ya")/5*100)</f>
        <v/>
      </c>
      <c r="S95" s="31" t="str">
        <f>IF(COUNTA(S96:S100)=0,"",COUNTIF(S96:S100,"Ya")/5*100)</f>
        <v/>
      </c>
      <c r="T95" s="31" t="str">
        <f>IF(COUNTA(T96:T100)=0,"",COUNTIF(T96:T100,"Ya")/5*100)</f>
        <v/>
      </c>
      <c r="U95" s="31" t="str">
        <f>IF(COUNTA(U96:U100)=0,"",COUNTIF(U96:U100,"Ya")/5*100)</f>
        <v/>
      </c>
      <c r="V95" s="31" t="str">
        <f>IF(COUNTA(V96:V100)=0,"",COUNTIF(V96:V100,"Ya")/5*100)</f>
        <v/>
      </c>
      <c r="W95" s="31" t="str">
        <f>IF(COUNTA(W96:W100)=0,"",COUNTIF(W96:W100,"Ya")/5*100)</f>
        <v/>
      </c>
      <c r="X95" s="31" t="str">
        <f>IF(COUNTA(X96:X100)=0,"",COUNTIF(X96:X100,"Ya")/5*100)</f>
        <v/>
      </c>
      <c r="Y95" s="31" t="str">
        <f>IF(COUNTA(Y96:Y100)=0,"",COUNTIF(Y96:Y100,"Ya")/5*100)</f>
        <v/>
      </c>
      <c r="Z95" s="31" t="str">
        <f>_xlfn.IFERROR(AVERAGE(E95:Y95),"")</f>
        <v/>
      </c>
    </row>
    <row r="96" spans="8:8" ht="25.0" customHeight="1">
      <c r="A96" s="32"/>
      <c r="B96" s="33" t="s">
        <v>1321</v>
      </c>
      <c r="C96" s="34" t="s">
        <v>1322</v>
      </c>
      <c r="D96" s="32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spans="8:8" ht="25.0" customHeight="1">
      <c r="A97" s="32"/>
      <c r="B97" s="33" t="s">
        <v>1323</v>
      </c>
      <c r="C97" s="34" t="s">
        <v>1324</v>
      </c>
      <c r="D97" s="32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spans="8:8" ht="25.0" customHeight="1">
      <c r="A98" s="32"/>
      <c r="B98" s="33" t="s">
        <v>1325</v>
      </c>
      <c r="C98" s="34" t="s">
        <v>1326</v>
      </c>
      <c r="D98" s="32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spans="8:8" ht="25.0" customHeight="1">
      <c r="A99" s="32"/>
      <c r="B99" s="33" t="s">
        <v>1327</v>
      </c>
      <c r="C99" s="34" t="s">
        <v>1328</v>
      </c>
      <c r="D99" s="32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spans="8:8" ht="25.0" customHeight="1">
      <c r="A100" s="32"/>
      <c r="B100" s="33" t="s">
        <v>1329</v>
      </c>
      <c r="C100" s="34" t="s">
        <v>1330</v>
      </c>
      <c r="D100" s="32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spans="8:8" ht="18.0" customHeight="1">
      <c r="A101" s="36"/>
      <c r="B101" s="36"/>
      <c r="C101" s="37" t="s">
        <v>1331</v>
      </c>
      <c r="D101" s="38">
        <v>100.0</v>
      </c>
      <c r="E101" s="39" t="str">
        <f>IF((IF(ISNUMBER(E89),50,0)+IF(ISNUMBER(E95),50,0))=0,"",(IF(ISNUMBER(E89),E89*50,0)+IF(ISNUMBER(E95),E95*50,0))/(IF(ISNUMBER(E89),50,0)+IF(ISNUMBER(E95),50,0)))</f>
        <v/>
      </c>
      <c r="F101" s="39" t="str">
        <f>IF((IF(ISNUMBER(F89),50,0)+IF(ISNUMBER(F95),50,0))=0,"",(IF(ISNUMBER(F89),F89*50,0)+IF(ISNUMBER(F95),F95*50,0))/(IF(ISNUMBER(F89),50,0)+IF(ISNUMBER(F95),50,0)))</f>
        <v/>
      </c>
      <c r="G101" s="39" t="str">
        <f>IF((IF(ISNUMBER(G89),50,0)+IF(ISNUMBER(G95),50,0))=0,"",(IF(ISNUMBER(G89),G89*50,0)+IF(ISNUMBER(G95),G95*50,0))/(IF(ISNUMBER(G89),50,0)+IF(ISNUMBER(G95),50,0)))</f>
        <v/>
      </c>
      <c r="H101" s="39" t="str">
        <f>IF((IF(ISNUMBER(H89),50,0)+IF(ISNUMBER(H95),50,0))=0,"",(IF(ISNUMBER(H89),H89*50,0)+IF(ISNUMBER(H95),H95*50,0))/(IF(ISNUMBER(H89),50,0)+IF(ISNUMBER(H95),50,0)))</f>
        <v/>
      </c>
      <c r="I101" s="39" t="str">
        <f>IF((IF(ISNUMBER(I89),50,0)+IF(ISNUMBER(I95),50,0))=0,"",(IF(ISNUMBER(I89),I89*50,0)+IF(ISNUMBER(I95),I95*50,0))/(IF(ISNUMBER(I89),50,0)+IF(ISNUMBER(I95),50,0)))</f>
        <v/>
      </c>
      <c r="J101" s="39" t="str">
        <f>IF((IF(ISNUMBER(J89),50,0)+IF(ISNUMBER(J95),50,0))=0,"",(IF(ISNUMBER(J89),J89*50,0)+IF(ISNUMBER(J95),J95*50,0))/(IF(ISNUMBER(J89),50,0)+IF(ISNUMBER(J95),50,0)))</f>
        <v/>
      </c>
      <c r="K101" s="39" t="str">
        <f>IF((IF(ISNUMBER(K89),50,0)+IF(ISNUMBER(K95),50,0))=0,"",(IF(ISNUMBER(K89),K89*50,0)+IF(ISNUMBER(K95),K95*50,0))/(IF(ISNUMBER(K89),50,0)+IF(ISNUMBER(K95),50,0)))</f>
        <v/>
      </c>
      <c r="L101" s="39" t="str">
        <f>IF((IF(ISNUMBER(L89),50,0)+IF(ISNUMBER(L95),50,0))=0,"",(IF(ISNUMBER(L89),L89*50,0)+IF(ISNUMBER(L95),L95*50,0))/(IF(ISNUMBER(L89),50,0)+IF(ISNUMBER(L95),50,0)))</f>
        <v/>
      </c>
      <c r="M101" s="39" t="str">
        <f>IF((IF(ISNUMBER(M89),50,0)+IF(ISNUMBER(M95),50,0))=0,"",(IF(ISNUMBER(M89),M89*50,0)+IF(ISNUMBER(M95),M95*50,0))/(IF(ISNUMBER(M89),50,0)+IF(ISNUMBER(M95),50,0)))</f>
        <v/>
      </c>
      <c r="N101" s="39" t="str">
        <f>IF((IF(ISNUMBER(N89),50,0)+IF(ISNUMBER(N95),50,0))=0,"",(IF(ISNUMBER(N89),N89*50,0)+IF(ISNUMBER(N95),N95*50,0))/(IF(ISNUMBER(N89),50,0)+IF(ISNUMBER(N95),50,0)))</f>
        <v/>
      </c>
      <c r="O101" s="39" t="str">
        <f>IF((IF(ISNUMBER(O89),50,0)+IF(ISNUMBER(O95),50,0))=0,"",(IF(ISNUMBER(O89),O89*50,0)+IF(ISNUMBER(O95),O95*50,0))/(IF(ISNUMBER(O89),50,0)+IF(ISNUMBER(O95),50,0)))</f>
        <v/>
      </c>
      <c r="P101" s="39" t="str">
        <f>IF((IF(ISNUMBER(P89),50,0)+IF(ISNUMBER(P95),50,0))=0,"",(IF(ISNUMBER(P89),P89*50,0)+IF(ISNUMBER(P95),P95*50,0))/(IF(ISNUMBER(P89),50,0)+IF(ISNUMBER(P95),50,0)))</f>
        <v/>
      </c>
      <c r="Q101" s="39" t="str">
        <f>IF((IF(ISNUMBER(Q89),50,0)+IF(ISNUMBER(Q95),50,0))=0,"",(IF(ISNUMBER(Q89),Q89*50,0)+IF(ISNUMBER(Q95),Q95*50,0))/(IF(ISNUMBER(Q89),50,0)+IF(ISNUMBER(Q95),50,0)))</f>
        <v/>
      </c>
      <c r="R101" s="39" t="str">
        <f>IF((IF(ISNUMBER(R89),50,0)+IF(ISNUMBER(R95),50,0))=0,"",(IF(ISNUMBER(R89),R89*50,0)+IF(ISNUMBER(R95),R95*50,0))/(IF(ISNUMBER(R89),50,0)+IF(ISNUMBER(R95),50,0)))</f>
        <v/>
      </c>
      <c r="S101" s="39" t="str">
        <f>IF((IF(ISNUMBER(S89),50,0)+IF(ISNUMBER(S95),50,0))=0,"",(IF(ISNUMBER(S89),S89*50,0)+IF(ISNUMBER(S95),S95*50,0))/(IF(ISNUMBER(S89),50,0)+IF(ISNUMBER(S95),50,0)))</f>
        <v/>
      </c>
      <c r="T101" s="39" t="str">
        <f>IF((IF(ISNUMBER(T89),50,0)+IF(ISNUMBER(T95),50,0))=0,"",(IF(ISNUMBER(T89),T89*50,0)+IF(ISNUMBER(T95),T95*50,0))/(IF(ISNUMBER(T89),50,0)+IF(ISNUMBER(T95),50,0)))</f>
        <v/>
      </c>
      <c r="U101" s="39" t="str">
        <f>IF((IF(ISNUMBER(U89),50,0)+IF(ISNUMBER(U95),50,0))=0,"",(IF(ISNUMBER(U89),U89*50,0)+IF(ISNUMBER(U95),U95*50,0))/(IF(ISNUMBER(U89),50,0)+IF(ISNUMBER(U95),50,0)))</f>
        <v/>
      </c>
      <c r="V101" s="39" t="str">
        <f>IF((IF(ISNUMBER(V89),50,0)+IF(ISNUMBER(V95),50,0))=0,"",(IF(ISNUMBER(V89),V89*50,0)+IF(ISNUMBER(V95),V95*50,0))/(IF(ISNUMBER(V89),50,0)+IF(ISNUMBER(V95),50,0)))</f>
        <v/>
      </c>
      <c r="W101" s="39" t="str">
        <f>IF((IF(ISNUMBER(W89),50,0)+IF(ISNUMBER(W95),50,0))=0,"",(IF(ISNUMBER(W89),W89*50,0)+IF(ISNUMBER(W95),W95*50,0))/(IF(ISNUMBER(W89),50,0)+IF(ISNUMBER(W95),50,0)))</f>
        <v/>
      </c>
      <c r="X101" s="39" t="str">
        <f>IF((IF(ISNUMBER(X89),50,0)+IF(ISNUMBER(X95),50,0))=0,"",(IF(ISNUMBER(X89),X89*50,0)+IF(ISNUMBER(X95),X95*50,0))/(IF(ISNUMBER(X89),50,0)+IF(ISNUMBER(X95),50,0)))</f>
        <v/>
      </c>
      <c r="Y101" s="39" t="str">
        <f>IF((IF(ISNUMBER(Y89),50,0)+IF(ISNUMBER(Y95),50,0))=0,"",(IF(ISNUMBER(Y89),Y89*50,0)+IF(ISNUMBER(Y95),Y95*50,0))/(IF(ISNUMBER(Y89),50,0)+IF(ISNUMBER(Y95),50,0)))</f>
        <v/>
      </c>
      <c r="Z101" s="39" t="str">
        <f>_xlfn.IFERROR(AVERAGE(E101:Y101),"")</f>
        <v/>
      </c>
    </row>
    <row r="102" spans="8:8" ht="22.0" customHeight="1">
      <c r="A102" s="40" t="s">
        <v>1332</v>
      </c>
      <c r="E102" s="41" t="str">
        <f>IF((IF(ISNUMBER(E5),7,0)+IF(ISNUMBER(E11),7,0)+IF(ISNUMBER(E17),6,0)+IF(ISNUMBER(E23),7,0)+IF(ISNUMBER(E29),6,0)+IF(ISNUMBER(E37),6,0)+IF(ISNUMBER(E43),7,0)+IF(ISNUMBER(E49),7,0)+IF(ISNUMBER(E55),6,0)+IF(ISNUMBER(E61),7,0)+IF(ISNUMBER(E69),7,0)+IF(ISNUMBER(E75),7,0)+IF(ISNUMBER(E81),6,0)+IF(ISNUMBER(E89),50,0)+IF(ISNUMBER(E95),50,0))=0,"",(IF(ISNUMBER(E5),E5*7,0)+IF(ISNUMBER(E11),E11*7,0)+IF(ISNUMBER(E17),E17*6,0)+IF(ISNUMBER(E23),E23*7,0)+IF(ISNUMBER(E29),E29*6,0)+IF(ISNUMBER(E37),E37*6,0)+IF(ISNUMBER(E43),E43*7,0)+IF(ISNUMBER(E49),E49*7,0)+IF(ISNUMBER(E55),E55*6,0)+IF(ISNUMBER(E61),E61*7,0)+IF(ISNUMBER(E69),E69*7,0)+IF(ISNUMBER(E75),E75*7,0)+IF(ISNUMBER(E81),E81*6,0)+IF(ISNUMBER(E89),E89*50,0)+IF(ISNUMBER(E95),E95*50,0))/(IF(ISNUMBER(E5),7,0)+IF(ISNUMBER(E11),7,0)+IF(ISNUMBER(E17),6,0)+IF(ISNUMBER(E23),7,0)+IF(ISNUMBER(E29),6,0)+IF(ISNUMBER(E37),6,0)+IF(ISNUMBER(E43),7,0)+IF(ISNUMBER(E49),7,0)+IF(ISNUMBER(E55),6,0)+IF(ISNUMBER(E61),7,0)+IF(ISNUMBER(E69),7,0)+IF(ISNUMBER(E75),7,0)+IF(ISNUMBER(E81),6,0)+IF(ISNUMBER(E89),50,0)+IF(ISNUMBER(E95),50,0)))</f>
        <v/>
      </c>
      <c r="F102" s="41" t="str">
        <f>IF((IF(ISNUMBER(F5),7,0)+IF(ISNUMBER(F11),7,0)+IF(ISNUMBER(F17),6,0)+IF(ISNUMBER(F23),7,0)+IF(ISNUMBER(F29),6,0)+IF(ISNUMBER(F37),6,0)+IF(ISNUMBER(F43),7,0)+IF(ISNUMBER(F49),7,0)+IF(ISNUMBER(F55),6,0)+IF(ISNUMBER(F61),7,0)+IF(ISNUMBER(F69),7,0)+IF(ISNUMBER(F75),7,0)+IF(ISNUMBER(F81),6,0)+IF(ISNUMBER(F89),50,0)+IF(ISNUMBER(F95),50,0))=0,"",(IF(ISNUMBER(F5),F5*7,0)+IF(ISNUMBER(F11),F11*7,0)+IF(ISNUMBER(F17),F17*6,0)+IF(ISNUMBER(F23),F23*7,0)+IF(ISNUMBER(F29),F29*6,0)+IF(ISNUMBER(F37),F37*6,0)+IF(ISNUMBER(F43),F43*7,0)+IF(ISNUMBER(F49),F49*7,0)+IF(ISNUMBER(F55),F55*6,0)+IF(ISNUMBER(F61),F61*7,0)+IF(ISNUMBER(F69),F69*7,0)+IF(ISNUMBER(F75),F75*7,0)+IF(ISNUMBER(F81),F81*6,0)+IF(ISNUMBER(F89),F89*50,0)+IF(ISNUMBER(F95),F95*50,0))/(IF(ISNUMBER(F5),7,0)+IF(ISNUMBER(F11),7,0)+IF(ISNUMBER(F17),6,0)+IF(ISNUMBER(F23),7,0)+IF(ISNUMBER(F29),6,0)+IF(ISNUMBER(F37),6,0)+IF(ISNUMBER(F43),7,0)+IF(ISNUMBER(F49),7,0)+IF(ISNUMBER(F55),6,0)+IF(ISNUMBER(F61),7,0)+IF(ISNUMBER(F69),7,0)+IF(ISNUMBER(F75),7,0)+IF(ISNUMBER(F81),6,0)+IF(ISNUMBER(F89),50,0)+IF(ISNUMBER(F95),50,0)))</f>
        <v/>
      </c>
      <c r="G102" s="41" t="str">
        <f>IF((IF(ISNUMBER(G5),7,0)+IF(ISNUMBER(G11),7,0)+IF(ISNUMBER(G17),6,0)+IF(ISNUMBER(G23),7,0)+IF(ISNUMBER(G29),6,0)+IF(ISNUMBER(G37),6,0)+IF(ISNUMBER(G43),7,0)+IF(ISNUMBER(G49),7,0)+IF(ISNUMBER(G55),6,0)+IF(ISNUMBER(G61),7,0)+IF(ISNUMBER(G69),7,0)+IF(ISNUMBER(G75),7,0)+IF(ISNUMBER(G81),6,0)+IF(ISNUMBER(G89),50,0)+IF(ISNUMBER(G95),50,0))=0,"",(IF(ISNUMBER(G5),G5*7,0)+IF(ISNUMBER(G11),G11*7,0)+IF(ISNUMBER(G17),G17*6,0)+IF(ISNUMBER(G23),G23*7,0)+IF(ISNUMBER(G29),G29*6,0)+IF(ISNUMBER(G37),G37*6,0)+IF(ISNUMBER(G43),G43*7,0)+IF(ISNUMBER(G49),G49*7,0)+IF(ISNUMBER(G55),G55*6,0)+IF(ISNUMBER(G61),G61*7,0)+IF(ISNUMBER(G69),G69*7,0)+IF(ISNUMBER(G75),G75*7,0)+IF(ISNUMBER(G81),G81*6,0)+IF(ISNUMBER(G89),G89*50,0)+IF(ISNUMBER(G95),G95*50,0))/(IF(ISNUMBER(G5),7,0)+IF(ISNUMBER(G11),7,0)+IF(ISNUMBER(G17),6,0)+IF(ISNUMBER(G23),7,0)+IF(ISNUMBER(G29),6,0)+IF(ISNUMBER(G37),6,0)+IF(ISNUMBER(G43),7,0)+IF(ISNUMBER(G49),7,0)+IF(ISNUMBER(G55),6,0)+IF(ISNUMBER(G61),7,0)+IF(ISNUMBER(G69),7,0)+IF(ISNUMBER(G75),7,0)+IF(ISNUMBER(G81),6,0)+IF(ISNUMBER(G89),50,0)+IF(ISNUMBER(G95),50,0)))</f>
        <v/>
      </c>
      <c r="H102" s="41" t="str">
        <f>IF((IF(ISNUMBER(H5),7,0)+IF(ISNUMBER(H11),7,0)+IF(ISNUMBER(H17),6,0)+IF(ISNUMBER(H23),7,0)+IF(ISNUMBER(H29),6,0)+IF(ISNUMBER(H37),6,0)+IF(ISNUMBER(H43),7,0)+IF(ISNUMBER(H49),7,0)+IF(ISNUMBER(H55),6,0)+IF(ISNUMBER(H61),7,0)+IF(ISNUMBER(H69),7,0)+IF(ISNUMBER(H75),7,0)+IF(ISNUMBER(H81),6,0)+IF(ISNUMBER(H89),50,0)+IF(ISNUMBER(H95),50,0))=0,"",(IF(ISNUMBER(H5),H5*7,0)+IF(ISNUMBER(H11),H11*7,0)+IF(ISNUMBER(H17),H17*6,0)+IF(ISNUMBER(H23),H23*7,0)+IF(ISNUMBER(H29),H29*6,0)+IF(ISNUMBER(H37),H37*6,0)+IF(ISNUMBER(H43),H43*7,0)+IF(ISNUMBER(H49),H49*7,0)+IF(ISNUMBER(H55),H55*6,0)+IF(ISNUMBER(H61),H61*7,0)+IF(ISNUMBER(H69),H69*7,0)+IF(ISNUMBER(H75),H75*7,0)+IF(ISNUMBER(H81),H81*6,0)+IF(ISNUMBER(H89),H89*50,0)+IF(ISNUMBER(H95),H95*50,0))/(IF(ISNUMBER(H5),7,0)+IF(ISNUMBER(H11),7,0)+IF(ISNUMBER(H17),6,0)+IF(ISNUMBER(H23),7,0)+IF(ISNUMBER(H29),6,0)+IF(ISNUMBER(H37),6,0)+IF(ISNUMBER(H43),7,0)+IF(ISNUMBER(H49),7,0)+IF(ISNUMBER(H55),6,0)+IF(ISNUMBER(H61),7,0)+IF(ISNUMBER(H69),7,0)+IF(ISNUMBER(H75),7,0)+IF(ISNUMBER(H81),6,0)+IF(ISNUMBER(H89),50,0)+IF(ISNUMBER(H95),50,0)))</f>
        <v/>
      </c>
      <c r="I102" s="41" t="str">
        <f>IF((IF(ISNUMBER(I5),7,0)+IF(ISNUMBER(I11),7,0)+IF(ISNUMBER(I17),6,0)+IF(ISNUMBER(I23),7,0)+IF(ISNUMBER(I29),6,0)+IF(ISNUMBER(I37),6,0)+IF(ISNUMBER(I43),7,0)+IF(ISNUMBER(I49),7,0)+IF(ISNUMBER(I55),6,0)+IF(ISNUMBER(I61),7,0)+IF(ISNUMBER(I69),7,0)+IF(ISNUMBER(I75),7,0)+IF(ISNUMBER(I81),6,0)+IF(ISNUMBER(I89),50,0)+IF(ISNUMBER(I95),50,0))=0,"",(IF(ISNUMBER(I5),I5*7,0)+IF(ISNUMBER(I11),I11*7,0)+IF(ISNUMBER(I17),I17*6,0)+IF(ISNUMBER(I23),I23*7,0)+IF(ISNUMBER(I29),I29*6,0)+IF(ISNUMBER(I37),I37*6,0)+IF(ISNUMBER(I43),I43*7,0)+IF(ISNUMBER(I49),I49*7,0)+IF(ISNUMBER(I55),I55*6,0)+IF(ISNUMBER(I61),I61*7,0)+IF(ISNUMBER(I69),I69*7,0)+IF(ISNUMBER(I75),I75*7,0)+IF(ISNUMBER(I81),I81*6,0)+IF(ISNUMBER(I89),I89*50,0)+IF(ISNUMBER(I95),I95*50,0))/(IF(ISNUMBER(I5),7,0)+IF(ISNUMBER(I11),7,0)+IF(ISNUMBER(I17),6,0)+IF(ISNUMBER(I23),7,0)+IF(ISNUMBER(I29),6,0)+IF(ISNUMBER(I37),6,0)+IF(ISNUMBER(I43),7,0)+IF(ISNUMBER(I49),7,0)+IF(ISNUMBER(I55),6,0)+IF(ISNUMBER(I61),7,0)+IF(ISNUMBER(I69),7,0)+IF(ISNUMBER(I75),7,0)+IF(ISNUMBER(I81),6,0)+IF(ISNUMBER(I89),50,0)+IF(ISNUMBER(I95),50,0)))</f>
        <v/>
      </c>
      <c r="J102" s="41" t="str">
        <f>IF((IF(ISNUMBER(J5),7,0)+IF(ISNUMBER(J11),7,0)+IF(ISNUMBER(J17),6,0)+IF(ISNUMBER(J23),7,0)+IF(ISNUMBER(J29),6,0)+IF(ISNUMBER(J37),6,0)+IF(ISNUMBER(J43),7,0)+IF(ISNUMBER(J49),7,0)+IF(ISNUMBER(J55),6,0)+IF(ISNUMBER(J61),7,0)+IF(ISNUMBER(J69),7,0)+IF(ISNUMBER(J75),7,0)+IF(ISNUMBER(J81),6,0)+IF(ISNUMBER(J89),50,0)+IF(ISNUMBER(J95),50,0))=0,"",(IF(ISNUMBER(J5),J5*7,0)+IF(ISNUMBER(J11),J11*7,0)+IF(ISNUMBER(J17),J17*6,0)+IF(ISNUMBER(J23),J23*7,0)+IF(ISNUMBER(J29),J29*6,0)+IF(ISNUMBER(J37),J37*6,0)+IF(ISNUMBER(J43),J43*7,0)+IF(ISNUMBER(J49),J49*7,0)+IF(ISNUMBER(J55),J55*6,0)+IF(ISNUMBER(J61),J61*7,0)+IF(ISNUMBER(J69),J69*7,0)+IF(ISNUMBER(J75),J75*7,0)+IF(ISNUMBER(J81),J81*6,0)+IF(ISNUMBER(J89),J89*50,0)+IF(ISNUMBER(J95),J95*50,0))/(IF(ISNUMBER(J5),7,0)+IF(ISNUMBER(J11),7,0)+IF(ISNUMBER(J17),6,0)+IF(ISNUMBER(J23),7,0)+IF(ISNUMBER(J29),6,0)+IF(ISNUMBER(J37),6,0)+IF(ISNUMBER(J43),7,0)+IF(ISNUMBER(J49),7,0)+IF(ISNUMBER(J55),6,0)+IF(ISNUMBER(J61),7,0)+IF(ISNUMBER(J69),7,0)+IF(ISNUMBER(J75),7,0)+IF(ISNUMBER(J81),6,0)+IF(ISNUMBER(J89),50,0)+IF(ISNUMBER(J95),50,0)))</f>
        <v/>
      </c>
      <c r="K102" s="41" t="str">
        <f>IF((IF(ISNUMBER(K5),7,0)+IF(ISNUMBER(K11),7,0)+IF(ISNUMBER(K17),6,0)+IF(ISNUMBER(K23),7,0)+IF(ISNUMBER(K29),6,0)+IF(ISNUMBER(K37),6,0)+IF(ISNUMBER(K43),7,0)+IF(ISNUMBER(K49),7,0)+IF(ISNUMBER(K55),6,0)+IF(ISNUMBER(K61),7,0)+IF(ISNUMBER(K69),7,0)+IF(ISNUMBER(K75),7,0)+IF(ISNUMBER(K81),6,0)+IF(ISNUMBER(K89),50,0)+IF(ISNUMBER(K95),50,0))=0,"",(IF(ISNUMBER(K5),K5*7,0)+IF(ISNUMBER(K11),K11*7,0)+IF(ISNUMBER(K17),K17*6,0)+IF(ISNUMBER(K23),K23*7,0)+IF(ISNUMBER(K29),K29*6,0)+IF(ISNUMBER(K37),K37*6,0)+IF(ISNUMBER(K43),K43*7,0)+IF(ISNUMBER(K49),K49*7,0)+IF(ISNUMBER(K55),K55*6,0)+IF(ISNUMBER(K61),K61*7,0)+IF(ISNUMBER(K69),K69*7,0)+IF(ISNUMBER(K75),K75*7,0)+IF(ISNUMBER(K81),K81*6,0)+IF(ISNUMBER(K89),K89*50,0)+IF(ISNUMBER(K95),K95*50,0))/(IF(ISNUMBER(K5),7,0)+IF(ISNUMBER(K11),7,0)+IF(ISNUMBER(K17),6,0)+IF(ISNUMBER(K23),7,0)+IF(ISNUMBER(K29),6,0)+IF(ISNUMBER(K37),6,0)+IF(ISNUMBER(K43),7,0)+IF(ISNUMBER(K49),7,0)+IF(ISNUMBER(K55),6,0)+IF(ISNUMBER(K61),7,0)+IF(ISNUMBER(K69),7,0)+IF(ISNUMBER(K75),7,0)+IF(ISNUMBER(K81),6,0)+IF(ISNUMBER(K89),50,0)+IF(ISNUMBER(K95),50,0)))</f>
        <v/>
      </c>
      <c r="L102" s="41" t="str">
        <f>IF((IF(ISNUMBER(L5),7,0)+IF(ISNUMBER(L11),7,0)+IF(ISNUMBER(L17),6,0)+IF(ISNUMBER(L23),7,0)+IF(ISNUMBER(L29),6,0)+IF(ISNUMBER(L37),6,0)+IF(ISNUMBER(L43),7,0)+IF(ISNUMBER(L49),7,0)+IF(ISNUMBER(L55),6,0)+IF(ISNUMBER(L61),7,0)+IF(ISNUMBER(L69),7,0)+IF(ISNUMBER(L75),7,0)+IF(ISNUMBER(L81),6,0)+IF(ISNUMBER(L89),50,0)+IF(ISNUMBER(L95),50,0))=0,"",(IF(ISNUMBER(L5),L5*7,0)+IF(ISNUMBER(L11),L11*7,0)+IF(ISNUMBER(L17),L17*6,0)+IF(ISNUMBER(L23),L23*7,0)+IF(ISNUMBER(L29),L29*6,0)+IF(ISNUMBER(L37),L37*6,0)+IF(ISNUMBER(L43),L43*7,0)+IF(ISNUMBER(L49),L49*7,0)+IF(ISNUMBER(L55),L55*6,0)+IF(ISNUMBER(L61),L61*7,0)+IF(ISNUMBER(L69),L69*7,0)+IF(ISNUMBER(L75),L75*7,0)+IF(ISNUMBER(L81),L81*6,0)+IF(ISNUMBER(L89),L89*50,0)+IF(ISNUMBER(L95),L95*50,0))/(IF(ISNUMBER(L5),7,0)+IF(ISNUMBER(L11),7,0)+IF(ISNUMBER(L17),6,0)+IF(ISNUMBER(L23),7,0)+IF(ISNUMBER(L29),6,0)+IF(ISNUMBER(L37),6,0)+IF(ISNUMBER(L43),7,0)+IF(ISNUMBER(L49),7,0)+IF(ISNUMBER(L55),6,0)+IF(ISNUMBER(L61),7,0)+IF(ISNUMBER(L69),7,0)+IF(ISNUMBER(L75),7,0)+IF(ISNUMBER(L81),6,0)+IF(ISNUMBER(L89),50,0)+IF(ISNUMBER(L95),50,0)))</f>
        <v/>
      </c>
      <c r="M102" s="41" t="str">
        <f>IF((IF(ISNUMBER(M5),7,0)+IF(ISNUMBER(M11),7,0)+IF(ISNUMBER(M17),6,0)+IF(ISNUMBER(M23),7,0)+IF(ISNUMBER(M29),6,0)+IF(ISNUMBER(M37),6,0)+IF(ISNUMBER(M43),7,0)+IF(ISNUMBER(M49),7,0)+IF(ISNUMBER(M55),6,0)+IF(ISNUMBER(M61),7,0)+IF(ISNUMBER(M69),7,0)+IF(ISNUMBER(M75),7,0)+IF(ISNUMBER(M81),6,0)+IF(ISNUMBER(M89),50,0)+IF(ISNUMBER(M95),50,0))=0,"",(IF(ISNUMBER(M5),M5*7,0)+IF(ISNUMBER(M11),M11*7,0)+IF(ISNUMBER(M17),M17*6,0)+IF(ISNUMBER(M23),M23*7,0)+IF(ISNUMBER(M29),M29*6,0)+IF(ISNUMBER(M37),M37*6,0)+IF(ISNUMBER(M43),M43*7,0)+IF(ISNUMBER(M49),M49*7,0)+IF(ISNUMBER(M55),M55*6,0)+IF(ISNUMBER(M61),M61*7,0)+IF(ISNUMBER(M69),M69*7,0)+IF(ISNUMBER(M75),M75*7,0)+IF(ISNUMBER(M81),M81*6,0)+IF(ISNUMBER(M89),M89*50,0)+IF(ISNUMBER(M95),M95*50,0))/(IF(ISNUMBER(M5),7,0)+IF(ISNUMBER(M11),7,0)+IF(ISNUMBER(M17),6,0)+IF(ISNUMBER(M23),7,0)+IF(ISNUMBER(M29),6,0)+IF(ISNUMBER(M37),6,0)+IF(ISNUMBER(M43),7,0)+IF(ISNUMBER(M49),7,0)+IF(ISNUMBER(M55),6,0)+IF(ISNUMBER(M61),7,0)+IF(ISNUMBER(M69),7,0)+IF(ISNUMBER(M75),7,0)+IF(ISNUMBER(M81),6,0)+IF(ISNUMBER(M89),50,0)+IF(ISNUMBER(M95),50,0)))</f>
        <v/>
      </c>
      <c r="N102" s="41" t="str">
        <f>IF((IF(ISNUMBER(N5),7,0)+IF(ISNUMBER(N11),7,0)+IF(ISNUMBER(N17),6,0)+IF(ISNUMBER(N23),7,0)+IF(ISNUMBER(N29),6,0)+IF(ISNUMBER(N37),6,0)+IF(ISNUMBER(N43),7,0)+IF(ISNUMBER(N49),7,0)+IF(ISNUMBER(N55),6,0)+IF(ISNUMBER(N61),7,0)+IF(ISNUMBER(N69),7,0)+IF(ISNUMBER(N75),7,0)+IF(ISNUMBER(N81),6,0)+IF(ISNUMBER(N89),50,0)+IF(ISNUMBER(N95),50,0))=0,"",(IF(ISNUMBER(N5),N5*7,0)+IF(ISNUMBER(N11),N11*7,0)+IF(ISNUMBER(N17),N17*6,0)+IF(ISNUMBER(N23),N23*7,0)+IF(ISNUMBER(N29),N29*6,0)+IF(ISNUMBER(N37),N37*6,0)+IF(ISNUMBER(N43),N43*7,0)+IF(ISNUMBER(N49),N49*7,0)+IF(ISNUMBER(N55),N55*6,0)+IF(ISNUMBER(N61),N61*7,0)+IF(ISNUMBER(N69),N69*7,0)+IF(ISNUMBER(N75),N75*7,0)+IF(ISNUMBER(N81),N81*6,0)+IF(ISNUMBER(N89),N89*50,0)+IF(ISNUMBER(N95),N95*50,0))/(IF(ISNUMBER(N5),7,0)+IF(ISNUMBER(N11),7,0)+IF(ISNUMBER(N17),6,0)+IF(ISNUMBER(N23),7,0)+IF(ISNUMBER(N29),6,0)+IF(ISNUMBER(N37),6,0)+IF(ISNUMBER(N43),7,0)+IF(ISNUMBER(N49),7,0)+IF(ISNUMBER(N55),6,0)+IF(ISNUMBER(N61),7,0)+IF(ISNUMBER(N69),7,0)+IF(ISNUMBER(N75),7,0)+IF(ISNUMBER(N81),6,0)+IF(ISNUMBER(N89),50,0)+IF(ISNUMBER(N95),50,0)))</f>
        <v/>
      </c>
      <c r="O102" s="41" t="str">
        <f>IF((IF(ISNUMBER(O5),7,0)+IF(ISNUMBER(O11),7,0)+IF(ISNUMBER(O17),6,0)+IF(ISNUMBER(O23),7,0)+IF(ISNUMBER(O29),6,0)+IF(ISNUMBER(O37),6,0)+IF(ISNUMBER(O43),7,0)+IF(ISNUMBER(O49),7,0)+IF(ISNUMBER(O55),6,0)+IF(ISNUMBER(O61),7,0)+IF(ISNUMBER(O69),7,0)+IF(ISNUMBER(O75),7,0)+IF(ISNUMBER(O81),6,0)+IF(ISNUMBER(O89),50,0)+IF(ISNUMBER(O95),50,0))=0,"",(IF(ISNUMBER(O5),O5*7,0)+IF(ISNUMBER(O11),O11*7,0)+IF(ISNUMBER(O17),O17*6,0)+IF(ISNUMBER(O23),O23*7,0)+IF(ISNUMBER(O29),O29*6,0)+IF(ISNUMBER(O37),O37*6,0)+IF(ISNUMBER(O43),O43*7,0)+IF(ISNUMBER(O49),O49*7,0)+IF(ISNUMBER(O55),O55*6,0)+IF(ISNUMBER(O61),O61*7,0)+IF(ISNUMBER(O69),O69*7,0)+IF(ISNUMBER(O75),O75*7,0)+IF(ISNUMBER(O81),O81*6,0)+IF(ISNUMBER(O89),O89*50,0)+IF(ISNUMBER(O95),O95*50,0))/(IF(ISNUMBER(O5),7,0)+IF(ISNUMBER(O11),7,0)+IF(ISNUMBER(O17),6,0)+IF(ISNUMBER(O23),7,0)+IF(ISNUMBER(O29),6,0)+IF(ISNUMBER(O37),6,0)+IF(ISNUMBER(O43),7,0)+IF(ISNUMBER(O49),7,0)+IF(ISNUMBER(O55),6,0)+IF(ISNUMBER(O61),7,0)+IF(ISNUMBER(O69),7,0)+IF(ISNUMBER(O75),7,0)+IF(ISNUMBER(O81),6,0)+IF(ISNUMBER(O89),50,0)+IF(ISNUMBER(O95),50,0)))</f>
        <v/>
      </c>
      <c r="P102" s="41" t="str">
        <f>IF((IF(ISNUMBER(P5),7,0)+IF(ISNUMBER(P11),7,0)+IF(ISNUMBER(P17),6,0)+IF(ISNUMBER(P23),7,0)+IF(ISNUMBER(P29),6,0)+IF(ISNUMBER(P37),6,0)+IF(ISNUMBER(P43),7,0)+IF(ISNUMBER(P49),7,0)+IF(ISNUMBER(P55),6,0)+IF(ISNUMBER(P61),7,0)+IF(ISNUMBER(P69),7,0)+IF(ISNUMBER(P75),7,0)+IF(ISNUMBER(P81),6,0)+IF(ISNUMBER(P89),50,0)+IF(ISNUMBER(P95),50,0))=0,"",(IF(ISNUMBER(P5),P5*7,0)+IF(ISNUMBER(P11),P11*7,0)+IF(ISNUMBER(P17),P17*6,0)+IF(ISNUMBER(P23),P23*7,0)+IF(ISNUMBER(P29),P29*6,0)+IF(ISNUMBER(P37),P37*6,0)+IF(ISNUMBER(P43),P43*7,0)+IF(ISNUMBER(P49),P49*7,0)+IF(ISNUMBER(P55),P55*6,0)+IF(ISNUMBER(P61),P61*7,0)+IF(ISNUMBER(P69),P69*7,0)+IF(ISNUMBER(P75),P75*7,0)+IF(ISNUMBER(P81),P81*6,0)+IF(ISNUMBER(P89),P89*50,0)+IF(ISNUMBER(P95),P95*50,0))/(IF(ISNUMBER(P5),7,0)+IF(ISNUMBER(P11),7,0)+IF(ISNUMBER(P17),6,0)+IF(ISNUMBER(P23),7,0)+IF(ISNUMBER(P29),6,0)+IF(ISNUMBER(P37),6,0)+IF(ISNUMBER(P43),7,0)+IF(ISNUMBER(P49),7,0)+IF(ISNUMBER(P55),6,0)+IF(ISNUMBER(P61),7,0)+IF(ISNUMBER(P69),7,0)+IF(ISNUMBER(P75),7,0)+IF(ISNUMBER(P81),6,0)+IF(ISNUMBER(P89),50,0)+IF(ISNUMBER(P95),50,0)))</f>
        <v/>
      </c>
      <c r="Q102" s="41" t="str">
        <f>IF((IF(ISNUMBER(Q5),7,0)+IF(ISNUMBER(Q11),7,0)+IF(ISNUMBER(Q17),6,0)+IF(ISNUMBER(Q23),7,0)+IF(ISNUMBER(Q29),6,0)+IF(ISNUMBER(Q37),6,0)+IF(ISNUMBER(Q43),7,0)+IF(ISNUMBER(Q49),7,0)+IF(ISNUMBER(Q55),6,0)+IF(ISNUMBER(Q61),7,0)+IF(ISNUMBER(Q69),7,0)+IF(ISNUMBER(Q75),7,0)+IF(ISNUMBER(Q81),6,0)+IF(ISNUMBER(Q89),50,0)+IF(ISNUMBER(Q95),50,0))=0,"",(IF(ISNUMBER(Q5),Q5*7,0)+IF(ISNUMBER(Q11),Q11*7,0)+IF(ISNUMBER(Q17),Q17*6,0)+IF(ISNUMBER(Q23),Q23*7,0)+IF(ISNUMBER(Q29),Q29*6,0)+IF(ISNUMBER(Q37),Q37*6,0)+IF(ISNUMBER(Q43),Q43*7,0)+IF(ISNUMBER(Q49),Q49*7,0)+IF(ISNUMBER(Q55),Q55*6,0)+IF(ISNUMBER(Q61),Q61*7,0)+IF(ISNUMBER(Q69),Q69*7,0)+IF(ISNUMBER(Q75),Q75*7,0)+IF(ISNUMBER(Q81),Q81*6,0)+IF(ISNUMBER(Q89),Q89*50,0)+IF(ISNUMBER(Q95),Q95*50,0))/(IF(ISNUMBER(Q5),7,0)+IF(ISNUMBER(Q11),7,0)+IF(ISNUMBER(Q17),6,0)+IF(ISNUMBER(Q23),7,0)+IF(ISNUMBER(Q29),6,0)+IF(ISNUMBER(Q37),6,0)+IF(ISNUMBER(Q43),7,0)+IF(ISNUMBER(Q49),7,0)+IF(ISNUMBER(Q55),6,0)+IF(ISNUMBER(Q61),7,0)+IF(ISNUMBER(Q69),7,0)+IF(ISNUMBER(Q75),7,0)+IF(ISNUMBER(Q81),6,0)+IF(ISNUMBER(Q89),50,0)+IF(ISNUMBER(Q95),50,0)))</f>
        <v/>
      </c>
      <c r="R102" s="41" t="str">
        <f>IF((IF(ISNUMBER(R5),7,0)+IF(ISNUMBER(R11),7,0)+IF(ISNUMBER(R17),6,0)+IF(ISNUMBER(R23),7,0)+IF(ISNUMBER(R29),6,0)+IF(ISNUMBER(R37),6,0)+IF(ISNUMBER(R43),7,0)+IF(ISNUMBER(R49),7,0)+IF(ISNUMBER(R55),6,0)+IF(ISNUMBER(R61),7,0)+IF(ISNUMBER(R69),7,0)+IF(ISNUMBER(R75),7,0)+IF(ISNUMBER(R81),6,0)+IF(ISNUMBER(R89),50,0)+IF(ISNUMBER(R95),50,0))=0,"",(IF(ISNUMBER(R5),R5*7,0)+IF(ISNUMBER(R11),R11*7,0)+IF(ISNUMBER(R17),R17*6,0)+IF(ISNUMBER(R23),R23*7,0)+IF(ISNUMBER(R29),R29*6,0)+IF(ISNUMBER(R37),R37*6,0)+IF(ISNUMBER(R43),R43*7,0)+IF(ISNUMBER(R49),R49*7,0)+IF(ISNUMBER(R55),R55*6,0)+IF(ISNUMBER(R61),R61*7,0)+IF(ISNUMBER(R69),R69*7,0)+IF(ISNUMBER(R75),R75*7,0)+IF(ISNUMBER(R81),R81*6,0)+IF(ISNUMBER(R89),R89*50,0)+IF(ISNUMBER(R95),R95*50,0))/(IF(ISNUMBER(R5),7,0)+IF(ISNUMBER(R11),7,0)+IF(ISNUMBER(R17),6,0)+IF(ISNUMBER(R23),7,0)+IF(ISNUMBER(R29),6,0)+IF(ISNUMBER(R37),6,0)+IF(ISNUMBER(R43),7,0)+IF(ISNUMBER(R49),7,0)+IF(ISNUMBER(R55),6,0)+IF(ISNUMBER(R61),7,0)+IF(ISNUMBER(R69),7,0)+IF(ISNUMBER(R75),7,0)+IF(ISNUMBER(R81),6,0)+IF(ISNUMBER(R89),50,0)+IF(ISNUMBER(R95),50,0)))</f>
        <v/>
      </c>
      <c r="S102" s="41" t="str">
        <f>IF((IF(ISNUMBER(S5),7,0)+IF(ISNUMBER(S11),7,0)+IF(ISNUMBER(S17),6,0)+IF(ISNUMBER(S23),7,0)+IF(ISNUMBER(S29),6,0)+IF(ISNUMBER(S37),6,0)+IF(ISNUMBER(S43),7,0)+IF(ISNUMBER(S49),7,0)+IF(ISNUMBER(S55),6,0)+IF(ISNUMBER(S61),7,0)+IF(ISNUMBER(S69),7,0)+IF(ISNUMBER(S75),7,0)+IF(ISNUMBER(S81),6,0)+IF(ISNUMBER(S89),50,0)+IF(ISNUMBER(S95),50,0))=0,"",(IF(ISNUMBER(S5),S5*7,0)+IF(ISNUMBER(S11),S11*7,0)+IF(ISNUMBER(S17),S17*6,0)+IF(ISNUMBER(S23),S23*7,0)+IF(ISNUMBER(S29),S29*6,0)+IF(ISNUMBER(S37),S37*6,0)+IF(ISNUMBER(S43),S43*7,0)+IF(ISNUMBER(S49),S49*7,0)+IF(ISNUMBER(S55),S55*6,0)+IF(ISNUMBER(S61),S61*7,0)+IF(ISNUMBER(S69),S69*7,0)+IF(ISNUMBER(S75),S75*7,0)+IF(ISNUMBER(S81),S81*6,0)+IF(ISNUMBER(S89),S89*50,0)+IF(ISNUMBER(S95),S95*50,0))/(IF(ISNUMBER(S5),7,0)+IF(ISNUMBER(S11),7,0)+IF(ISNUMBER(S17),6,0)+IF(ISNUMBER(S23),7,0)+IF(ISNUMBER(S29),6,0)+IF(ISNUMBER(S37),6,0)+IF(ISNUMBER(S43),7,0)+IF(ISNUMBER(S49),7,0)+IF(ISNUMBER(S55),6,0)+IF(ISNUMBER(S61),7,0)+IF(ISNUMBER(S69),7,0)+IF(ISNUMBER(S75),7,0)+IF(ISNUMBER(S81),6,0)+IF(ISNUMBER(S89),50,0)+IF(ISNUMBER(S95),50,0)))</f>
        <v/>
      </c>
      <c r="T102" s="41" t="str">
        <f>IF((IF(ISNUMBER(T5),7,0)+IF(ISNUMBER(T11),7,0)+IF(ISNUMBER(T17),6,0)+IF(ISNUMBER(T23),7,0)+IF(ISNUMBER(T29),6,0)+IF(ISNUMBER(T37),6,0)+IF(ISNUMBER(T43),7,0)+IF(ISNUMBER(T49),7,0)+IF(ISNUMBER(T55),6,0)+IF(ISNUMBER(T61),7,0)+IF(ISNUMBER(T69),7,0)+IF(ISNUMBER(T75),7,0)+IF(ISNUMBER(T81),6,0)+IF(ISNUMBER(T89),50,0)+IF(ISNUMBER(T95),50,0))=0,"",(IF(ISNUMBER(T5),T5*7,0)+IF(ISNUMBER(T11),T11*7,0)+IF(ISNUMBER(T17),T17*6,0)+IF(ISNUMBER(T23),T23*7,0)+IF(ISNUMBER(T29),T29*6,0)+IF(ISNUMBER(T37),T37*6,0)+IF(ISNUMBER(T43),T43*7,0)+IF(ISNUMBER(T49),T49*7,0)+IF(ISNUMBER(T55),T55*6,0)+IF(ISNUMBER(T61),T61*7,0)+IF(ISNUMBER(T69),T69*7,0)+IF(ISNUMBER(T75),T75*7,0)+IF(ISNUMBER(T81),T81*6,0)+IF(ISNUMBER(T89),T89*50,0)+IF(ISNUMBER(T95),T95*50,0))/(IF(ISNUMBER(T5),7,0)+IF(ISNUMBER(T11),7,0)+IF(ISNUMBER(T17),6,0)+IF(ISNUMBER(T23),7,0)+IF(ISNUMBER(T29),6,0)+IF(ISNUMBER(T37),6,0)+IF(ISNUMBER(T43),7,0)+IF(ISNUMBER(T49),7,0)+IF(ISNUMBER(T55),6,0)+IF(ISNUMBER(T61),7,0)+IF(ISNUMBER(T69),7,0)+IF(ISNUMBER(T75),7,0)+IF(ISNUMBER(T81),6,0)+IF(ISNUMBER(T89),50,0)+IF(ISNUMBER(T95),50,0)))</f>
        <v/>
      </c>
      <c r="U102" s="41" t="str">
        <f>IF((IF(ISNUMBER(U5),7,0)+IF(ISNUMBER(U11),7,0)+IF(ISNUMBER(U17),6,0)+IF(ISNUMBER(U23),7,0)+IF(ISNUMBER(U29),6,0)+IF(ISNUMBER(U37),6,0)+IF(ISNUMBER(U43),7,0)+IF(ISNUMBER(U49),7,0)+IF(ISNUMBER(U55),6,0)+IF(ISNUMBER(U61),7,0)+IF(ISNUMBER(U69),7,0)+IF(ISNUMBER(U75),7,0)+IF(ISNUMBER(U81),6,0)+IF(ISNUMBER(U89),50,0)+IF(ISNUMBER(U95),50,0))=0,"",(IF(ISNUMBER(U5),U5*7,0)+IF(ISNUMBER(U11),U11*7,0)+IF(ISNUMBER(U17),U17*6,0)+IF(ISNUMBER(U23),U23*7,0)+IF(ISNUMBER(U29),U29*6,0)+IF(ISNUMBER(U37),U37*6,0)+IF(ISNUMBER(U43),U43*7,0)+IF(ISNUMBER(U49),U49*7,0)+IF(ISNUMBER(U55),U55*6,0)+IF(ISNUMBER(U61),U61*7,0)+IF(ISNUMBER(U69),U69*7,0)+IF(ISNUMBER(U75),U75*7,0)+IF(ISNUMBER(U81),U81*6,0)+IF(ISNUMBER(U89),U89*50,0)+IF(ISNUMBER(U95),U95*50,0))/(IF(ISNUMBER(U5),7,0)+IF(ISNUMBER(U11),7,0)+IF(ISNUMBER(U17),6,0)+IF(ISNUMBER(U23),7,0)+IF(ISNUMBER(U29),6,0)+IF(ISNUMBER(U37),6,0)+IF(ISNUMBER(U43),7,0)+IF(ISNUMBER(U49),7,0)+IF(ISNUMBER(U55),6,0)+IF(ISNUMBER(U61),7,0)+IF(ISNUMBER(U69),7,0)+IF(ISNUMBER(U75),7,0)+IF(ISNUMBER(U81),6,0)+IF(ISNUMBER(U89),50,0)+IF(ISNUMBER(U95),50,0)))</f>
        <v/>
      </c>
      <c r="V102" s="41" t="str">
        <f>IF((IF(ISNUMBER(V5),7,0)+IF(ISNUMBER(V11),7,0)+IF(ISNUMBER(V17),6,0)+IF(ISNUMBER(V23),7,0)+IF(ISNUMBER(V29),6,0)+IF(ISNUMBER(V37),6,0)+IF(ISNUMBER(V43),7,0)+IF(ISNUMBER(V49),7,0)+IF(ISNUMBER(V55),6,0)+IF(ISNUMBER(V61),7,0)+IF(ISNUMBER(V69),7,0)+IF(ISNUMBER(V75),7,0)+IF(ISNUMBER(V81),6,0)+IF(ISNUMBER(V89),50,0)+IF(ISNUMBER(V95),50,0))=0,"",(IF(ISNUMBER(V5),V5*7,0)+IF(ISNUMBER(V11),V11*7,0)+IF(ISNUMBER(V17),V17*6,0)+IF(ISNUMBER(V23),V23*7,0)+IF(ISNUMBER(V29),V29*6,0)+IF(ISNUMBER(V37),V37*6,0)+IF(ISNUMBER(V43),V43*7,0)+IF(ISNUMBER(V49),V49*7,0)+IF(ISNUMBER(V55),V55*6,0)+IF(ISNUMBER(V61),V61*7,0)+IF(ISNUMBER(V69),V69*7,0)+IF(ISNUMBER(V75),V75*7,0)+IF(ISNUMBER(V81),V81*6,0)+IF(ISNUMBER(V89),V89*50,0)+IF(ISNUMBER(V95),V95*50,0))/(IF(ISNUMBER(V5),7,0)+IF(ISNUMBER(V11),7,0)+IF(ISNUMBER(V17),6,0)+IF(ISNUMBER(V23),7,0)+IF(ISNUMBER(V29),6,0)+IF(ISNUMBER(V37),6,0)+IF(ISNUMBER(V43),7,0)+IF(ISNUMBER(V49),7,0)+IF(ISNUMBER(V55),6,0)+IF(ISNUMBER(V61),7,0)+IF(ISNUMBER(V69),7,0)+IF(ISNUMBER(V75),7,0)+IF(ISNUMBER(V81),6,0)+IF(ISNUMBER(V89),50,0)+IF(ISNUMBER(V95),50,0)))</f>
        <v/>
      </c>
      <c r="W102" s="41" t="str">
        <f>IF((IF(ISNUMBER(W5),7,0)+IF(ISNUMBER(W11),7,0)+IF(ISNUMBER(W17),6,0)+IF(ISNUMBER(W23),7,0)+IF(ISNUMBER(W29),6,0)+IF(ISNUMBER(W37),6,0)+IF(ISNUMBER(W43),7,0)+IF(ISNUMBER(W49),7,0)+IF(ISNUMBER(W55),6,0)+IF(ISNUMBER(W61),7,0)+IF(ISNUMBER(W69),7,0)+IF(ISNUMBER(W75),7,0)+IF(ISNUMBER(W81),6,0)+IF(ISNUMBER(W89),50,0)+IF(ISNUMBER(W95),50,0))=0,"",(IF(ISNUMBER(W5),W5*7,0)+IF(ISNUMBER(W11),W11*7,0)+IF(ISNUMBER(W17),W17*6,0)+IF(ISNUMBER(W23),W23*7,0)+IF(ISNUMBER(W29),W29*6,0)+IF(ISNUMBER(W37),W37*6,0)+IF(ISNUMBER(W43),W43*7,0)+IF(ISNUMBER(W49),W49*7,0)+IF(ISNUMBER(W55),W55*6,0)+IF(ISNUMBER(W61),W61*7,0)+IF(ISNUMBER(W69),W69*7,0)+IF(ISNUMBER(W75),W75*7,0)+IF(ISNUMBER(W81),W81*6,0)+IF(ISNUMBER(W89),W89*50,0)+IF(ISNUMBER(W95),W95*50,0))/(IF(ISNUMBER(W5),7,0)+IF(ISNUMBER(W11),7,0)+IF(ISNUMBER(W17),6,0)+IF(ISNUMBER(W23),7,0)+IF(ISNUMBER(W29),6,0)+IF(ISNUMBER(W37),6,0)+IF(ISNUMBER(W43),7,0)+IF(ISNUMBER(W49),7,0)+IF(ISNUMBER(W55),6,0)+IF(ISNUMBER(W61),7,0)+IF(ISNUMBER(W69),7,0)+IF(ISNUMBER(W75),7,0)+IF(ISNUMBER(W81),6,0)+IF(ISNUMBER(W89),50,0)+IF(ISNUMBER(W95),50,0)))</f>
        <v/>
      </c>
      <c r="X102" s="41" t="str">
        <f>IF((IF(ISNUMBER(X5),7,0)+IF(ISNUMBER(X11),7,0)+IF(ISNUMBER(X17),6,0)+IF(ISNUMBER(X23),7,0)+IF(ISNUMBER(X29),6,0)+IF(ISNUMBER(X37),6,0)+IF(ISNUMBER(X43),7,0)+IF(ISNUMBER(X49),7,0)+IF(ISNUMBER(X55),6,0)+IF(ISNUMBER(X61),7,0)+IF(ISNUMBER(X69),7,0)+IF(ISNUMBER(X75),7,0)+IF(ISNUMBER(X81),6,0)+IF(ISNUMBER(X89),50,0)+IF(ISNUMBER(X95),50,0))=0,"",(IF(ISNUMBER(X5),X5*7,0)+IF(ISNUMBER(X11),X11*7,0)+IF(ISNUMBER(X17),X17*6,0)+IF(ISNUMBER(X23),X23*7,0)+IF(ISNUMBER(X29),X29*6,0)+IF(ISNUMBER(X37),X37*6,0)+IF(ISNUMBER(X43),X43*7,0)+IF(ISNUMBER(X49),X49*7,0)+IF(ISNUMBER(X55),X55*6,0)+IF(ISNUMBER(X61),X61*7,0)+IF(ISNUMBER(X69),X69*7,0)+IF(ISNUMBER(X75),X75*7,0)+IF(ISNUMBER(X81),X81*6,0)+IF(ISNUMBER(X89),X89*50,0)+IF(ISNUMBER(X95),X95*50,0))/(IF(ISNUMBER(X5),7,0)+IF(ISNUMBER(X11),7,0)+IF(ISNUMBER(X17),6,0)+IF(ISNUMBER(X23),7,0)+IF(ISNUMBER(X29),6,0)+IF(ISNUMBER(X37),6,0)+IF(ISNUMBER(X43),7,0)+IF(ISNUMBER(X49),7,0)+IF(ISNUMBER(X55),6,0)+IF(ISNUMBER(X61),7,0)+IF(ISNUMBER(X69),7,0)+IF(ISNUMBER(X75),7,0)+IF(ISNUMBER(X81),6,0)+IF(ISNUMBER(X89),50,0)+IF(ISNUMBER(X95),50,0)))</f>
        <v/>
      </c>
      <c r="Y102" s="41" t="str">
        <f>IF((IF(ISNUMBER(Y5),7,0)+IF(ISNUMBER(Y11),7,0)+IF(ISNUMBER(Y17),6,0)+IF(ISNUMBER(Y23),7,0)+IF(ISNUMBER(Y29),6,0)+IF(ISNUMBER(Y37),6,0)+IF(ISNUMBER(Y43),7,0)+IF(ISNUMBER(Y49),7,0)+IF(ISNUMBER(Y55),6,0)+IF(ISNUMBER(Y61),7,0)+IF(ISNUMBER(Y69),7,0)+IF(ISNUMBER(Y75),7,0)+IF(ISNUMBER(Y81),6,0)+IF(ISNUMBER(Y89),50,0)+IF(ISNUMBER(Y95),50,0))=0,"",(IF(ISNUMBER(Y5),Y5*7,0)+IF(ISNUMBER(Y11),Y11*7,0)+IF(ISNUMBER(Y17),Y17*6,0)+IF(ISNUMBER(Y23),Y23*7,0)+IF(ISNUMBER(Y29),Y29*6,0)+IF(ISNUMBER(Y37),Y37*6,0)+IF(ISNUMBER(Y43),Y43*7,0)+IF(ISNUMBER(Y49),Y49*7,0)+IF(ISNUMBER(Y55),Y55*6,0)+IF(ISNUMBER(Y61),Y61*7,0)+IF(ISNUMBER(Y69),Y69*7,0)+IF(ISNUMBER(Y75),Y75*7,0)+IF(ISNUMBER(Y81),Y81*6,0)+IF(ISNUMBER(Y89),Y89*50,0)+IF(ISNUMBER(Y95),Y95*50,0))/(IF(ISNUMBER(Y5),7,0)+IF(ISNUMBER(Y11),7,0)+IF(ISNUMBER(Y17),6,0)+IF(ISNUMBER(Y23),7,0)+IF(ISNUMBER(Y29),6,0)+IF(ISNUMBER(Y37),6,0)+IF(ISNUMBER(Y43),7,0)+IF(ISNUMBER(Y49),7,0)+IF(ISNUMBER(Y55),6,0)+IF(ISNUMBER(Y61),7,0)+IF(ISNUMBER(Y69),7,0)+IF(ISNUMBER(Y75),7,0)+IF(ISNUMBER(Y81),6,0)+IF(ISNUMBER(Y89),50,0)+IF(ISNUMBER(Y95),50,0)))</f>
        <v/>
      </c>
      <c r="Z102" s="41" t="str">
        <f>_xlfn.IFERROR(AVERAGE(E102:Y102),"")</f>
        <v/>
      </c>
    </row>
  </sheetData>
  <mergeCells count="7">
    <mergeCell ref="A102:D102"/>
    <mergeCell ref="A88:Z88"/>
    <mergeCell ref="A68:Z68"/>
    <mergeCell ref="A36:Z36"/>
    <mergeCell ref="A1:Z1"/>
    <mergeCell ref="A4:Z4"/>
    <mergeCell ref="A2:Z2"/>
  </mergeCells>
  <conditionalFormatting sqref="Z4:Z102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:Y102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dataValidations count="75">
    <dataValidation allowBlank="1" type="list" errorStyle="stop" sqref="E20:Y20">
      <formula1>"Ya,Tidak"</formula1>
    </dataValidation>
    <dataValidation allowBlank="1" type="list" errorStyle="stop" sqref="E33:Y33">
      <formula1>"Ya,Tidak"</formula1>
    </dataValidation>
    <dataValidation allowBlank="1" type="list" errorStyle="stop" sqref="E25:Y25">
      <formula1>"Ya,Tidak"</formula1>
    </dataValidation>
    <dataValidation allowBlank="1" type="list" errorStyle="stop" sqref="E27:Y27">
      <formula1>"Ya,Tidak"</formula1>
    </dataValidation>
    <dataValidation allowBlank="1" type="list" errorStyle="stop" sqref="E6:Y6">
      <formula1>"Ya,Tidak"</formula1>
    </dataValidation>
    <dataValidation allowBlank="1" type="list" errorStyle="stop" sqref="E14:Y14">
      <formula1>"Ya,Tidak"</formula1>
    </dataValidation>
    <dataValidation allowBlank="1" type="list" errorStyle="stop" sqref="E12:Y12">
      <formula1>"Ya,Tidak"</formula1>
    </dataValidation>
    <dataValidation allowBlank="1" type="list" errorStyle="stop" sqref="E9:Y9">
      <formula1>"Ya,Tidak"</formula1>
    </dataValidation>
    <dataValidation allowBlank="1" type="list" errorStyle="stop" sqref="E22:Y22">
      <formula1>"Ya,Tidak"</formula1>
    </dataValidation>
    <dataValidation allowBlank="1" type="list" errorStyle="stop" sqref="E45:Y45">
      <formula1>"Ya,Tidak"</formula1>
    </dataValidation>
    <dataValidation allowBlank="1" type="list" errorStyle="stop" sqref="E10:Y10">
      <formula1>"Ya,Tidak"</formula1>
    </dataValidation>
    <dataValidation allowBlank="1" type="list" errorStyle="stop" sqref="E26:Y26">
      <formula1>"Ya,Tidak"</formula1>
    </dataValidation>
    <dataValidation allowBlank="1" type="list" errorStyle="stop" sqref="E18:Y18">
      <formula1>"Ya,Tidak"</formula1>
    </dataValidation>
    <dataValidation allowBlank="1" type="list" errorStyle="stop" sqref="E31:Y31">
      <formula1>"Ya,Tidak"</formula1>
    </dataValidation>
    <dataValidation allowBlank="1" type="list" errorStyle="stop" sqref="E7:Y7">
      <formula1>"Ya,Tidak"</formula1>
    </dataValidation>
    <dataValidation allowBlank="1" type="list" errorStyle="stop" sqref="E19:Y19">
      <formula1>"Ya,Tidak"</formula1>
    </dataValidation>
    <dataValidation allowBlank="1" type="list" errorStyle="stop" sqref="E16:Y16">
      <formula1>"Ya,Tidak"</formula1>
    </dataValidation>
    <dataValidation allowBlank="1" type="list" errorStyle="stop" sqref="E13:Y13">
      <formula1>"Ya,Tidak"</formula1>
    </dataValidation>
    <dataValidation allowBlank="1" type="list" errorStyle="stop" sqref="E41:Y41">
      <formula1>"Ya,Tidak"</formula1>
    </dataValidation>
    <dataValidation allowBlank="1" type="list" errorStyle="stop" sqref="E54:Y54">
      <formula1>"Ya,Tidak"</formula1>
    </dataValidation>
    <dataValidation allowBlank="1" type="list" errorStyle="stop" sqref="E51:Y51">
      <formula1>"Ya,Tidak"</formula1>
    </dataValidation>
    <dataValidation allowBlank="1" type="list" errorStyle="stop" sqref="E46:Y46">
      <formula1>"Ya,Tidak"</formula1>
    </dataValidation>
    <dataValidation allowBlank="1" type="list" errorStyle="stop" sqref="E44:Y44">
      <formula1>"Ya,Tidak"</formula1>
    </dataValidation>
    <dataValidation allowBlank="1" type="list" errorStyle="stop" sqref="E48:Y48">
      <formula1>"Ya,Tidak"</formula1>
    </dataValidation>
    <dataValidation allowBlank="1" type="list" errorStyle="stop" sqref="E53:Y53">
      <formula1>"Ya,Tidak"</formula1>
    </dataValidation>
    <dataValidation allowBlank="1" type="list" errorStyle="stop" sqref="E39:Y39">
      <formula1>"Ya,Tidak"</formula1>
    </dataValidation>
    <dataValidation allowBlank="1" type="list" errorStyle="stop" sqref="E52:Y52">
      <formula1>"Ya,Tidak"</formula1>
    </dataValidation>
    <dataValidation allowBlank="1" type="list" errorStyle="stop" sqref="E34:Y34">
      <formula1>"Ya,Tidak"</formula1>
    </dataValidation>
    <dataValidation allowBlank="1" type="list" errorStyle="stop" sqref="E50:Y50">
      <formula1>"Ya,Tidak"</formula1>
    </dataValidation>
    <dataValidation allowBlank="1" type="list" errorStyle="stop" sqref="E21:Y21">
      <formula1>"Ya,Tidak"</formula1>
    </dataValidation>
    <dataValidation allowBlank="1" type="list" errorStyle="stop" sqref="E40:Y40">
      <formula1>"Ya,Tidak"</formula1>
    </dataValidation>
    <dataValidation allowBlank="1" type="list" errorStyle="stop" sqref="E38:Y38">
      <formula1>"Ya,Tidak"</formula1>
    </dataValidation>
    <dataValidation allowBlank="1" type="list" errorStyle="stop" sqref="E30:Y30">
      <formula1>"Ya,Tidak"</formula1>
    </dataValidation>
    <dataValidation allowBlank="1" type="list" errorStyle="stop" sqref="E15:Y15">
      <formula1>"Ya,Tidak"</formula1>
    </dataValidation>
    <dataValidation allowBlank="1" type="list" errorStyle="stop" sqref="E28:Y28">
      <formula1>"Ya,Tidak"</formula1>
    </dataValidation>
    <dataValidation allowBlank="1" type="list" errorStyle="stop" sqref="E32:Y32">
      <formula1>"Ya,Tidak"</formula1>
    </dataValidation>
    <dataValidation allowBlank="1" type="list" errorStyle="stop" sqref="E47:Y47">
      <formula1>"Ya,Tidak"</formula1>
    </dataValidation>
    <dataValidation allowBlank="1" type="list" errorStyle="stop" sqref="E8:Y8">
      <formula1>"Ya,Tidak"</formula1>
    </dataValidation>
    <dataValidation allowBlank="1" type="list" errorStyle="stop" sqref="E24:Y24">
      <formula1>"Ya,Tidak"</formula1>
    </dataValidation>
    <dataValidation allowBlank="1" type="list" errorStyle="stop" sqref="E71:Y71">
      <formula1>"Ya,Tidak"</formula1>
    </dataValidation>
    <dataValidation allowBlank="1" type="list" errorStyle="stop" sqref="E84:Y84">
      <formula1>"Ya,Tidak"</formula1>
    </dataValidation>
    <dataValidation allowBlank="1" type="list" errorStyle="stop" sqref="E42:Y42">
      <formula1>"Ya,Tidak"</formula1>
    </dataValidation>
    <dataValidation allowBlank="1" type="list" errorStyle="stop" sqref="E63:Y63">
      <formula1>"Ya,Tidak"</formula1>
    </dataValidation>
    <dataValidation allowBlank="1" type="list" errorStyle="stop" sqref="E74:Y74">
      <formula1>"Ya,Tidak"</formula1>
    </dataValidation>
    <dataValidation allowBlank="1" type="list" errorStyle="stop" sqref="E97:Y97">
      <formula1>"Ya,Tidak"</formula1>
    </dataValidation>
    <dataValidation allowBlank="1" type="list" errorStyle="stop" sqref="E90:Y90">
      <formula1>"Ya,Tidak"</formula1>
    </dataValidation>
    <dataValidation allowBlank="1" type="list" errorStyle="stop" sqref="E99:Y99">
      <formula1>"Ya,Tidak"</formula1>
    </dataValidation>
    <dataValidation allowBlank="1" type="list" errorStyle="stop" sqref="E93:Y93">
      <formula1>"Ya,Tidak"</formula1>
    </dataValidation>
    <dataValidation allowBlank="1" type="list" errorStyle="stop" sqref="E96:Y96">
      <formula1>"Ya,Tidak"</formula1>
    </dataValidation>
    <dataValidation allowBlank="1" type="list" errorStyle="stop" sqref="E56:Y56">
      <formula1>"Ya,Tidak"</formula1>
    </dataValidation>
    <dataValidation allowBlank="1" type="list" errorStyle="stop" sqref="E65:Y65">
      <formula1>"Ya,Tidak"</formula1>
    </dataValidation>
    <dataValidation allowBlank="1" type="list" errorStyle="stop" sqref="E59:Y59">
      <formula1>"Ya,Tidak"</formula1>
    </dataValidation>
    <dataValidation allowBlank="1" type="list" errorStyle="stop" sqref="E62:Y62">
      <formula1>"Ya,Tidak"</formula1>
    </dataValidation>
    <dataValidation allowBlank="1" type="list" errorStyle="stop" sqref="E57:Y57">
      <formula1>"Ya,Tidak"</formula1>
    </dataValidation>
    <dataValidation allowBlank="1" type="list" errorStyle="stop" sqref="E72:Y72">
      <formula1>"Ya,Tidak"</formula1>
    </dataValidation>
    <dataValidation allowBlank="1" type="list" errorStyle="stop" sqref="E70:Y70">
      <formula1>"Ya,Tidak"</formula1>
    </dataValidation>
    <dataValidation allowBlank="1" type="list" errorStyle="stop" sqref="E60:Y60">
      <formula1>"Ya,Tidak"</formula1>
    </dataValidation>
    <dataValidation allowBlank="1" type="list" errorStyle="stop" sqref="E58:Y58">
      <formula1>"Ya,Tidak"</formula1>
    </dataValidation>
    <dataValidation allowBlank="1" type="list" errorStyle="stop" sqref="E77:Y77">
      <formula1>"Ya,Tidak"</formula1>
    </dataValidation>
    <dataValidation allowBlank="1" type="list" errorStyle="stop" sqref="E64:Y64">
      <formula1>"Ya,Tidak"</formula1>
    </dataValidation>
    <dataValidation allowBlank="1" type="list" errorStyle="stop" sqref="E79:Y79">
      <formula1>"Ya,Tidak"</formula1>
    </dataValidation>
    <dataValidation allowBlank="1" type="list" errorStyle="stop" sqref="E66:Y66">
      <formula1>"Ya,Tidak"</formula1>
    </dataValidation>
    <dataValidation allowBlank="1" type="list" errorStyle="stop" sqref="E82:Y82">
      <formula1>"Ya,Tidak"</formula1>
    </dataValidation>
    <dataValidation allowBlank="1" type="list" errorStyle="stop" sqref="E73:Y73">
      <formula1>"Ya,Tidak"</formula1>
    </dataValidation>
    <dataValidation allowBlank="1" type="list" errorStyle="stop" sqref="E86:Y86">
      <formula1>"Ya,Tidak"</formula1>
    </dataValidation>
    <dataValidation allowBlank="1" type="list" errorStyle="stop" sqref="E83:Y83">
      <formula1>"Ya,Tidak"</formula1>
    </dataValidation>
    <dataValidation allowBlank="1" type="list" errorStyle="stop" sqref="E78:Y78">
      <formula1>"Ya,Tidak"</formula1>
    </dataValidation>
    <dataValidation allowBlank="1" type="list" errorStyle="stop" sqref="E76:Y76">
      <formula1>"Ya,Tidak"</formula1>
    </dataValidation>
    <dataValidation allowBlank="1" type="list" errorStyle="stop" sqref="E80:Y80">
      <formula1>"Ya,Tidak"</formula1>
    </dataValidation>
    <dataValidation allowBlank="1" type="list" errorStyle="stop" sqref="E85:Y85">
      <formula1>"Ya,Tidak"</formula1>
    </dataValidation>
    <dataValidation allowBlank="1" type="list" errorStyle="stop" sqref="E100:Y100">
      <formula1>"Ya,Tidak"</formula1>
    </dataValidation>
    <dataValidation allowBlank="1" type="list" errorStyle="stop" sqref="E91:Y91">
      <formula1>"Ya,Tidak"</formula1>
    </dataValidation>
    <dataValidation allowBlank="1" type="list" errorStyle="stop" sqref="E92:Y92">
      <formula1>"Ya,Tidak"</formula1>
    </dataValidation>
    <dataValidation allowBlank="1" type="list" errorStyle="stop" sqref="E94:Y94">
      <formula1>"Ya,Tidak"</formula1>
    </dataValidation>
    <dataValidation allowBlank="1" type="list" errorStyle="stop" sqref="E98:Y98">
      <formula1>"Ya,Tidak"</formula1>
    </dataValidation>
  </dataValidations>
  <pageMargins left="0.75" right="0.75" top="1.0" bottom="1.0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dimension ref="A1:AA84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62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8.0" customHeight="1">
      <c r="A1" s="1" t="s">
        <v>29</v>
      </c>
    </row>
    <row r="2" spans="8:8">
      <c r="A2" s="2" t="s">
        <v>30</v>
      </c>
    </row>
    <row r="3" spans="8:8" ht="30.0" customHeight="1">
      <c r="A3" s="6" t="s">
        <v>31</v>
      </c>
      <c r="B3" s="6" t="s">
        <v>23</v>
      </c>
      <c r="C3" s="6" t="s">
        <v>32</v>
      </c>
      <c r="D3" s="6" t="s">
        <v>33</v>
      </c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0.0" customHeight="1">
      <c r="A4" s="18" t="s">
        <v>56</v>
      </c>
    </row>
    <row r="5" spans="8:8" ht="40.0" customHeight="1">
      <c r="A5" s="28"/>
      <c r="B5" s="29" t="s">
        <v>57</v>
      </c>
      <c r="C5" s="30" t="s">
        <v>58</v>
      </c>
      <c r="D5" s="29">
        <v>6.25</v>
      </c>
      <c r="E5" s="31" t="str">
        <f>IF(COUNTA(E6:E10)=0,"",COUNTIF(E6:E10,"Ya")/5*100)</f>
        <v/>
      </c>
      <c r="F5" s="31" t="str">
        <f>IF(COUNTA(F6:F10)=0,"",COUNTIF(F6:F10,"Ya")/5*100)</f>
        <v/>
      </c>
      <c r="G5" s="31" t="str">
        <f>IF(COUNTA(G6:G10)=0,"",COUNTIF(G6:G10,"Ya")/5*100)</f>
        <v/>
      </c>
      <c r="H5" s="31" t="str">
        <f>IF(COUNTA(H6:H10)=0,"",COUNTIF(H6:H10,"Ya")/5*100)</f>
        <v/>
      </c>
      <c r="I5" s="31" t="str">
        <f>IF(COUNTA(I6:I10)=0,"",COUNTIF(I6:I10,"Ya")/5*100)</f>
        <v/>
      </c>
      <c r="J5" s="31" t="str">
        <f>IF(COUNTA(J6:J10)=0,"",COUNTIF(J6:J10,"Ya")/5*100)</f>
        <v/>
      </c>
      <c r="K5" s="31" t="str">
        <f>IF(COUNTA(K6:K10)=0,"",COUNTIF(K6:K10,"Ya")/5*100)</f>
        <v/>
      </c>
      <c r="L5" s="31" t="str">
        <f>IF(COUNTA(L6:L10)=0,"",COUNTIF(L6:L10,"Ya")/5*100)</f>
        <v/>
      </c>
      <c r="M5" s="31" t="str">
        <f>IF(COUNTA(M6:M10)=0,"",COUNTIF(M6:M10,"Ya")/5*100)</f>
        <v/>
      </c>
      <c r="N5" s="31" t="str">
        <f>IF(COUNTA(N6:N10)=0,"",COUNTIF(N6:N10,"Ya")/5*100)</f>
        <v/>
      </c>
      <c r="O5" s="31" t="str">
        <f>IF(COUNTA(O6:O10)=0,"",COUNTIF(O6:O10,"Ya")/5*100)</f>
        <v/>
      </c>
      <c r="P5" s="31" t="str">
        <f>IF(COUNTA(P6:P10)=0,"",COUNTIF(P6:P10,"Ya")/5*100)</f>
        <v/>
      </c>
      <c r="Q5" s="31" t="str">
        <f>IF(COUNTA(Q6:Q10)=0,"",COUNTIF(Q6:Q10,"Ya")/5*100)</f>
        <v/>
      </c>
      <c r="R5" s="31" t="str">
        <f>IF(COUNTA(R6:R10)=0,"",COUNTIF(R6:R10,"Ya")/5*100)</f>
        <v/>
      </c>
      <c r="S5" s="31" t="str">
        <f>IF(COUNTA(S6:S10)=0,"",COUNTIF(S6:S10,"Ya")/5*100)</f>
        <v/>
      </c>
      <c r="T5" s="31" t="str">
        <f>IF(COUNTA(T6:T10)=0,"",COUNTIF(T6:T10,"Ya")/5*100)</f>
        <v/>
      </c>
      <c r="U5" s="31" t="str">
        <f>IF(COUNTA(U6:U10)=0,"",COUNTIF(U6:U10,"Ya")/5*100)</f>
        <v/>
      </c>
      <c r="V5" s="31" t="str">
        <f>IF(COUNTA(V6:V10)=0,"",COUNTIF(V6:V10,"Ya")/5*100)</f>
        <v/>
      </c>
      <c r="W5" s="31" t="str">
        <f>IF(COUNTA(W6:W10)=0,"",COUNTIF(W6:W10,"Ya")/5*100)</f>
        <v/>
      </c>
      <c r="X5" s="31" t="str">
        <f>IF(COUNTA(X6:X10)=0,"",COUNTIF(X6:X10,"Ya")/5*100)</f>
        <v/>
      </c>
      <c r="Y5" s="31" t="str">
        <f>IF(COUNTA(Y6:Y10)=0,"",COUNTIF(Y6:Y10,"Ya")/5*100)</f>
        <v/>
      </c>
      <c r="Z5" s="31" t="str">
        <f>_xlfn.IFERROR(AVERAGE(E5:Y5),"")</f>
        <v/>
      </c>
    </row>
    <row r="6" spans="8:8" ht="25.0" customHeight="1">
      <c r="A6" s="32"/>
      <c r="B6" s="33" t="s">
        <v>59</v>
      </c>
      <c r="C6" s="34" t="s">
        <v>60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8:8" ht="25.0" customHeight="1">
      <c r="A7" s="32"/>
      <c r="B7" s="33" t="s">
        <v>61</v>
      </c>
      <c r="C7" s="34" t="s">
        <v>62</v>
      </c>
      <c r="D7" s="3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8:8" ht="25.0" customHeight="1">
      <c r="A8" s="32"/>
      <c r="B8" s="33" t="s">
        <v>63</v>
      </c>
      <c r="C8" s="34" t="s">
        <v>64</v>
      </c>
      <c r="D8" s="32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8:8" ht="25.0" customHeight="1">
      <c r="A9" s="32"/>
      <c r="B9" s="33" t="s">
        <v>65</v>
      </c>
      <c r="C9" s="34" t="s">
        <v>66</v>
      </c>
      <c r="D9" s="32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8:8" ht="25.0" customHeight="1">
      <c r="A10" s="32"/>
      <c r="B10" s="33" t="s">
        <v>67</v>
      </c>
      <c r="C10" s="34" t="s">
        <v>68</v>
      </c>
      <c r="D10" s="32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8:8" ht="28.0" customHeight="1">
      <c r="A11" s="28"/>
      <c r="B11" s="29" t="s">
        <v>69</v>
      </c>
      <c r="C11" s="30" t="s">
        <v>70</v>
      </c>
      <c r="D11" s="29">
        <v>6.25</v>
      </c>
      <c r="E11" s="31" t="str">
        <f>IF(COUNTA(E12:E16)=0,"",COUNTIF(E12:E16,"Ya")/5*100)</f>
        <v/>
      </c>
      <c r="F11" s="31" t="str">
        <f>IF(COUNTA(F12:F16)=0,"",COUNTIF(F12:F16,"Ya")/5*100)</f>
        <v/>
      </c>
      <c r="G11" s="31" t="str">
        <f>IF(COUNTA(G12:G16)=0,"",COUNTIF(G12:G16,"Ya")/5*100)</f>
        <v/>
      </c>
      <c r="H11" s="31" t="str">
        <f>IF(COUNTA(H12:H16)=0,"",COUNTIF(H12:H16,"Ya")/5*100)</f>
        <v/>
      </c>
      <c r="I11" s="31" t="str">
        <f>IF(COUNTA(I12:I16)=0,"",COUNTIF(I12:I16,"Ya")/5*100)</f>
        <v/>
      </c>
      <c r="J11" s="31" t="str">
        <f>IF(COUNTA(J12:J16)=0,"",COUNTIF(J12:J16,"Ya")/5*100)</f>
        <v/>
      </c>
      <c r="K11" s="31" t="str">
        <f>IF(COUNTA(K12:K16)=0,"",COUNTIF(K12:K16,"Ya")/5*100)</f>
        <v/>
      </c>
      <c r="L11" s="31" t="str">
        <f>IF(COUNTA(L12:L16)=0,"",COUNTIF(L12:L16,"Ya")/5*100)</f>
        <v/>
      </c>
      <c r="M11" s="31" t="str">
        <f>IF(COUNTA(M12:M16)=0,"",COUNTIF(M12:M16,"Ya")/5*100)</f>
        <v/>
      </c>
      <c r="N11" s="31" t="str">
        <f>IF(COUNTA(N12:N16)=0,"",COUNTIF(N12:N16,"Ya")/5*100)</f>
        <v/>
      </c>
      <c r="O11" s="31" t="str">
        <f>IF(COUNTA(O12:O16)=0,"",COUNTIF(O12:O16,"Ya")/5*100)</f>
        <v/>
      </c>
      <c r="P11" s="31" t="str">
        <f>IF(COUNTA(P12:P16)=0,"",COUNTIF(P12:P16,"Ya")/5*100)</f>
        <v/>
      </c>
      <c r="Q11" s="31" t="str">
        <f>IF(COUNTA(Q12:Q16)=0,"",COUNTIF(Q12:Q16,"Ya")/5*100)</f>
        <v/>
      </c>
      <c r="R11" s="31" t="str">
        <f>IF(COUNTA(R12:R16)=0,"",COUNTIF(R12:R16,"Ya")/5*100)</f>
        <v/>
      </c>
      <c r="S11" s="31" t="str">
        <f>IF(COUNTA(S12:S16)=0,"",COUNTIF(S12:S16,"Ya")/5*100)</f>
        <v/>
      </c>
      <c r="T11" s="31" t="str">
        <f>IF(COUNTA(T12:T16)=0,"",COUNTIF(T12:T16,"Ya")/5*100)</f>
        <v/>
      </c>
      <c r="U11" s="31" t="str">
        <f>IF(COUNTA(U12:U16)=0,"",COUNTIF(U12:U16,"Ya")/5*100)</f>
        <v/>
      </c>
      <c r="V11" s="31" t="str">
        <f>IF(COUNTA(V12:V16)=0,"",COUNTIF(V12:V16,"Ya")/5*100)</f>
        <v/>
      </c>
      <c r="W11" s="31" t="str">
        <f>IF(COUNTA(W12:W16)=0,"",COUNTIF(W12:W16,"Ya")/5*100)</f>
        <v/>
      </c>
      <c r="X11" s="31" t="str">
        <f>IF(COUNTA(X12:X16)=0,"",COUNTIF(X12:X16,"Ya")/5*100)</f>
        <v/>
      </c>
      <c r="Y11" s="31" t="str">
        <f>IF(COUNTA(Y12:Y16)=0,"",COUNTIF(Y12:Y16,"Ya")/5*100)</f>
        <v/>
      </c>
      <c r="Z11" s="31" t="str">
        <f>_xlfn.IFERROR(AVERAGE(E11:Y11),"")</f>
        <v/>
      </c>
    </row>
    <row r="12" spans="8:8" ht="25.0" customHeight="1">
      <c r="A12" s="32"/>
      <c r="B12" s="33" t="s">
        <v>71</v>
      </c>
      <c r="C12" s="34" t="s">
        <v>72</v>
      </c>
      <c r="D12" s="32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8:8" ht="14.0" customHeight="1">
      <c r="A13" s="32"/>
      <c r="B13" s="33" t="s">
        <v>73</v>
      </c>
      <c r="C13" s="34" t="s">
        <v>74</v>
      </c>
      <c r="D13" s="32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8:8" ht="25.0" customHeight="1">
      <c r="A14" s="32"/>
      <c r="B14" s="33" t="s">
        <v>75</v>
      </c>
      <c r="C14" s="34" t="s">
        <v>76</v>
      </c>
      <c r="D14" s="32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8:8" ht="25.0" customHeight="1">
      <c r="A15" s="32"/>
      <c r="B15" s="33" t="s">
        <v>77</v>
      </c>
      <c r="C15" s="34" t="s">
        <v>78</v>
      </c>
      <c r="D15" s="32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8:8" ht="25.0" customHeight="1">
      <c r="A16" s="32"/>
      <c r="B16" s="33" t="s">
        <v>79</v>
      </c>
      <c r="C16" s="34" t="s">
        <v>80</v>
      </c>
      <c r="D16" s="32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8:8" ht="40.0" customHeight="1">
      <c r="A17" s="28"/>
      <c r="B17" s="29" t="s">
        <v>81</v>
      </c>
      <c r="C17" s="30" t="s">
        <v>82</v>
      </c>
      <c r="D17" s="29">
        <v>6.25</v>
      </c>
      <c r="E17" s="31" t="str">
        <f>IF(COUNTA(E18:E22)=0,"",COUNTIF(E18:E22,"Ya")/5*100)</f>
        <v/>
      </c>
      <c r="F17" s="31" t="str">
        <f>IF(COUNTA(F18:F22)=0,"",COUNTIF(F18:F22,"Ya")/5*100)</f>
        <v/>
      </c>
      <c r="G17" s="31" t="str">
        <f>IF(COUNTA(G18:G22)=0,"",COUNTIF(G18:G22,"Ya")/5*100)</f>
        <v/>
      </c>
      <c r="H17" s="31" t="str">
        <f>IF(COUNTA(H18:H22)=0,"",COUNTIF(H18:H22,"Ya")/5*100)</f>
        <v/>
      </c>
      <c r="I17" s="31" t="str">
        <f>IF(COUNTA(I18:I22)=0,"",COUNTIF(I18:I22,"Ya")/5*100)</f>
        <v/>
      </c>
      <c r="J17" s="31" t="str">
        <f>IF(COUNTA(J18:J22)=0,"",COUNTIF(J18:J22,"Ya")/5*100)</f>
        <v/>
      </c>
      <c r="K17" s="31" t="str">
        <f>IF(COUNTA(K18:K22)=0,"",COUNTIF(K18:K22,"Ya")/5*100)</f>
        <v/>
      </c>
      <c r="L17" s="31" t="str">
        <f>IF(COUNTA(L18:L22)=0,"",COUNTIF(L18:L22,"Ya")/5*100)</f>
        <v/>
      </c>
      <c r="M17" s="31" t="str">
        <f>IF(COUNTA(M18:M22)=0,"",COUNTIF(M18:M22,"Ya")/5*100)</f>
        <v/>
      </c>
      <c r="N17" s="31" t="str">
        <f>IF(COUNTA(N18:N22)=0,"",COUNTIF(N18:N22,"Ya")/5*100)</f>
        <v/>
      </c>
      <c r="O17" s="31" t="str">
        <f>IF(COUNTA(O18:O22)=0,"",COUNTIF(O18:O22,"Ya")/5*100)</f>
        <v/>
      </c>
      <c r="P17" s="31" t="str">
        <f>IF(COUNTA(P18:P22)=0,"",COUNTIF(P18:P22,"Ya")/5*100)</f>
        <v/>
      </c>
      <c r="Q17" s="31" t="str">
        <f>IF(COUNTA(Q18:Q22)=0,"",COUNTIF(Q18:Q22,"Ya")/5*100)</f>
        <v/>
      </c>
      <c r="R17" s="31" t="str">
        <f>IF(COUNTA(R18:R22)=0,"",COUNTIF(R18:R22,"Ya")/5*100)</f>
        <v/>
      </c>
      <c r="S17" s="31" t="str">
        <f>IF(COUNTA(S18:S22)=0,"",COUNTIF(S18:S22,"Ya")/5*100)</f>
        <v/>
      </c>
      <c r="T17" s="31" t="str">
        <f>IF(COUNTA(T18:T22)=0,"",COUNTIF(T18:T22,"Ya")/5*100)</f>
        <v/>
      </c>
      <c r="U17" s="31" t="str">
        <f>IF(COUNTA(U18:U22)=0,"",COUNTIF(U18:U22,"Ya")/5*100)</f>
        <v/>
      </c>
      <c r="V17" s="31" t="str">
        <f>IF(COUNTA(V18:V22)=0,"",COUNTIF(V18:V22,"Ya")/5*100)</f>
        <v/>
      </c>
      <c r="W17" s="31" t="str">
        <f>IF(COUNTA(W18:W22)=0,"",COUNTIF(W18:W22,"Ya")/5*100)</f>
        <v/>
      </c>
      <c r="X17" s="31" t="str">
        <f>IF(COUNTA(X18:X22)=0,"",COUNTIF(X18:X22,"Ya")/5*100)</f>
        <v/>
      </c>
      <c r="Y17" s="31" t="str">
        <f>IF(COUNTA(Y18:Y22)=0,"",COUNTIF(Y18:Y22,"Ya")/5*100)</f>
        <v/>
      </c>
      <c r="Z17" s="31" t="str">
        <f>_xlfn.IFERROR(AVERAGE(E17:Y17),"")</f>
        <v/>
      </c>
    </row>
    <row r="18" spans="8:8" ht="14.0" customHeight="1">
      <c r="A18" s="32"/>
      <c r="B18" s="33" t="s">
        <v>83</v>
      </c>
      <c r="C18" s="34" t="s">
        <v>84</v>
      </c>
      <c r="D18" s="32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8:8" ht="25.0" customHeight="1">
      <c r="A19" s="32"/>
      <c r="B19" s="33" t="s">
        <v>85</v>
      </c>
      <c r="C19" s="34" t="s">
        <v>86</v>
      </c>
      <c r="D19" s="32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8:8" ht="25.0" customHeight="1">
      <c r="A20" s="32"/>
      <c r="B20" s="33" t="s">
        <v>87</v>
      </c>
      <c r="C20" s="34" t="s">
        <v>88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8:8" ht="25.0" customHeight="1">
      <c r="A21" s="32"/>
      <c r="B21" s="33" t="s">
        <v>89</v>
      </c>
      <c r="C21" s="34" t="s">
        <v>90</v>
      </c>
      <c r="D21" s="32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8:8" ht="25.0" customHeight="1">
      <c r="A22" s="32"/>
      <c r="B22" s="33" t="s">
        <v>91</v>
      </c>
      <c r="C22" s="34" t="s">
        <v>92</v>
      </c>
      <c r="D22" s="32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8:8" ht="40.0" customHeight="1">
      <c r="A23" s="28"/>
      <c r="B23" s="29" t="s">
        <v>93</v>
      </c>
      <c r="C23" s="30" t="s">
        <v>94</v>
      </c>
      <c r="D23" s="29">
        <v>6.25</v>
      </c>
      <c r="E23" s="31" t="str">
        <f>IF(COUNTA(E24:E28)=0,"",COUNTIF(E24:E28,"Ya")/5*100)</f>
        <v/>
      </c>
      <c r="F23" s="31" t="str">
        <f>IF(COUNTA(F24:F28)=0,"",COUNTIF(F24:F28,"Ya")/5*100)</f>
        <v/>
      </c>
      <c r="G23" s="31" t="str">
        <f>IF(COUNTA(G24:G28)=0,"",COUNTIF(G24:G28,"Ya")/5*100)</f>
        <v/>
      </c>
      <c r="H23" s="31" t="str">
        <f>IF(COUNTA(H24:H28)=0,"",COUNTIF(H24:H28,"Ya")/5*100)</f>
        <v/>
      </c>
      <c r="I23" s="31" t="str">
        <f>IF(COUNTA(I24:I28)=0,"",COUNTIF(I24:I28,"Ya")/5*100)</f>
        <v/>
      </c>
      <c r="J23" s="31" t="str">
        <f>IF(COUNTA(J24:J28)=0,"",COUNTIF(J24:J28,"Ya")/5*100)</f>
        <v/>
      </c>
      <c r="K23" s="31" t="str">
        <f>IF(COUNTA(K24:K28)=0,"",COUNTIF(K24:K28,"Ya")/5*100)</f>
        <v/>
      </c>
      <c r="L23" s="31" t="str">
        <f>IF(COUNTA(L24:L28)=0,"",COUNTIF(L24:L28,"Ya")/5*100)</f>
        <v/>
      </c>
      <c r="M23" s="31" t="str">
        <f>IF(COUNTA(M24:M28)=0,"",COUNTIF(M24:M28,"Ya")/5*100)</f>
        <v/>
      </c>
      <c r="N23" s="31" t="str">
        <f>IF(COUNTA(N24:N28)=0,"",COUNTIF(N24:N28,"Ya")/5*100)</f>
        <v/>
      </c>
      <c r="O23" s="31" t="str">
        <f>IF(COUNTA(O24:O28)=0,"",COUNTIF(O24:O28,"Ya")/5*100)</f>
        <v/>
      </c>
      <c r="P23" s="31" t="str">
        <f>IF(COUNTA(P24:P28)=0,"",COUNTIF(P24:P28,"Ya")/5*100)</f>
        <v/>
      </c>
      <c r="Q23" s="31" t="str">
        <f>IF(COUNTA(Q24:Q28)=0,"",COUNTIF(Q24:Q28,"Ya")/5*100)</f>
        <v/>
      </c>
      <c r="R23" s="31" t="str">
        <f>IF(COUNTA(R24:R28)=0,"",COUNTIF(R24:R28,"Ya")/5*100)</f>
        <v/>
      </c>
      <c r="S23" s="31" t="str">
        <f>IF(COUNTA(S24:S28)=0,"",COUNTIF(S24:S28,"Ya")/5*100)</f>
        <v/>
      </c>
      <c r="T23" s="31" t="str">
        <f>IF(COUNTA(T24:T28)=0,"",COUNTIF(T24:T28,"Ya")/5*100)</f>
        <v/>
      </c>
      <c r="U23" s="31" t="str">
        <f>IF(COUNTA(U24:U28)=0,"",COUNTIF(U24:U28,"Ya")/5*100)</f>
        <v/>
      </c>
      <c r="V23" s="31" t="str">
        <f>IF(COUNTA(V24:V28)=0,"",COUNTIF(V24:V28,"Ya")/5*100)</f>
        <v/>
      </c>
      <c r="W23" s="31" t="str">
        <f>IF(COUNTA(W24:W28)=0,"",COUNTIF(W24:W28,"Ya")/5*100)</f>
        <v/>
      </c>
      <c r="X23" s="31" t="str">
        <f>IF(COUNTA(X24:X28)=0,"",COUNTIF(X24:X28,"Ya")/5*100)</f>
        <v/>
      </c>
      <c r="Y23" s="31" t="str">
        <f>IF(COUNTA(Y24:Y28)=0,"",COUNTIF(Y24:Y28,"Ya")/5*100)</f>
        <v/>
      </c>
      <c r="Z23" s="31" t="str">
        <f>_xlfn.IFERROR(AVERAGE(E23:Y23),"")</f>
        <v/>
      </c>
    </row>
    <row r="24" spans="8:8" ht="25.0" customHeight="1">
      <c r="A24" s="32"/>
      <c r="B24" s="33" t="s">
        <v>95</v>
      </c>
      <c r="C24" s="34" t="s">
        <v>96</v>
      </c>
      <c r="D24" s="32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8:8" ht="25.0" customHeight="1">
      <c r="A25" s="32"/>
      <c r="B25" s="33" t="s">
        <v>97</v>
      </c>
      <c r="C25" s="34" t="s">
        <v>98</v>
      </c>
      <c r="D25" s="32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8:8" ht="25.0" customHeight="1">
      <c r="A26" s="32"/>
      <c r="B26" s="33" t="s">
        <v>99</v>
      </c>
      <c r="C26" s="34" t="s">
        <v>100</v>
      </c>
      <c r="D26" s="32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8:8" ht="25.0" customHeight="1">
      <c r="A27" s="32"/>
      <c r="B27" s="33" t="s">
        <v>101</v>
      </c>
      <c r="C27" s="34" t="s">
        <v>102</v>
      </c>
      <c r="D27" s="32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8:8" ht="25.0" customHeight="1">
      <c r="A28" s="32"/>
      <c r="B28" s="33" t="s">
        <v>103</v>
      </c>
      <c r="C28" s="34" t="s">
        <v>104</v>
      </c>
      <c r="D28" s="32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8:8" ht="18.0" customHeight="1">
      <c r="A29" s="36"/>
      <c r="B29" s="36"/>
      <c r="C29" s="37" t="s">
        <v>105</v>
      </c>
      <c r="D29" s="38">
        <v>25.0</v>
      </c>
      <c r="E29" s="39" t="str">
        <f>IF((IF(ISNUMBER(E5),6.25,0)+IF(ISNUMBER(E11),6.25,0)+IF(ISNUMBER(E17),6.25,0)+IF(ISNUMBER(E23),6.25,0))=0,"",(IF(ISNUMBER(E5),E5*6.25,0)+IF(ISNUMBER(E11),E11*6.25,0)+IF(ISNUMBER(E17),E17*6.25,0)+IF(ISNUMBER(E23),E23*6.25,0))/(IF(ISNUMBER(E5),6.25,0)+IF(ISNUMBER(E11),6.25,0)+IF(ISNUMBER(E17),6.25,0)+IF(ISNUMBER(E23),6.25,0)))</f>
        <v/>
      </c>
      <c r="F29" s="39" t="str">
        <f>IF((IF(ISNUMBER(F5),6.25,0)+IF(ISNUMBER(F11),6.25,0)+IF(ISNUMBER(F17),6.25,0)+IF(ISNUMBER(F23),6.25,0))=0,"",(IF(ISNUMBER(F5),F5*6.25,0)+IF(ISNUMBER(F11),F11*6.25,0)+IF(ISNUMBER(F17),F17*6.25,0)+IF(ISNUMBER(F23),F23*6.25,0))/(IF(ISNUMBER(F5),6.25,0)+IF(ISNUMBER(F11),6.25,0)+IF(ISNUMBER(F17),6.25,0)+IF(ISNUMBER(F23),6.25,0)))</f>
        <v/>
      </c>
      <c r="G29" s="39" t="str">
        <f>IF((IF(ISNUMBER(G5),6.25,0)+IF(ISNUMBER(G11),6.25,0)+IF(ISNUMBER(G17),6.25,0)+IF(ISNUMBER(G23),6.25,0))=0,"",(IF(ISNUMBER(G5),G5*6.25,0)+IF(ISNUMBER(G11),G11*6.25,0)+IF(ISNUMBER(G17),G17*6.25,0)+IF(ISNUMBER(G23),G23*6.25,0))/(IF(ISNUMBER(G5),6.25,0)+IF(ISNUMBER(G11),6.25,0)+IF(ISNUMBER(G17),6.25,0)+IF(ISNUMBER(G23),6.25,0)))</f>
        <v/>
      </c>
      <c r="H29" s="39" t="str">
        <f>IF((IF(ISNUMBER(H5),6.25,0)+IF(ISNUMBER(H11),6.25,0)+IF(ISNUMBER(H17),6.25,0)+IF(ISNUMBER(H23),6.25,0))=0,"",(IF(ISNUMBER(H5),H5*6.25,0)+IF(ISNUMBER(H11),H11*6.25,0)+IF(ISNUMBER(H17),H17*6.25,0)+IF(ISNUMBER(H23),H23*6.25,0))/(IF(ISNUMBER(H5),6.25,0)+IF(ISNUMBER(H11),6.25,0)+IF(ISNUMBER(H17),6.25,0)+IF(ISNUMBER(H23),6.25,0)))</f>
        <v/>
      </c>
      <c r="I29" s="39" t="str">
        <f>IF((IF(ISNUMBER(I5),6.25,0)+IF(ISNUMBER(I11),6.25,0)+IF(ISNUMBER(I17),6.25,0)+IF(ISNUMBER(I23),6.25,0))=0,"",(IF(ISNUMBER(I5),I5*6.25,0)+IF(ISNUMBER(I11),I11*6.25,0)+IF(ISNUMBER(I17),I17*6.25,0)+IF(ISNUMBER(I23),I23*6.25,0))/(IF(ISNUMBER(I5),6.25,0)+IF(ISNUMBER(I11),6.25,0)+IF(ISNUMBER(I17),6.25,0)+IF(ISNUMBER(I23),6.25,0)))</f>
        <v/>
      </c>
      <c r="J29" s="39" t="str">
        <f>IF((IF(ISNUMBER(J5),6.25,0)+IF(ISNUMBER(J11),6.25,0)+IF(ISNUMBER(J17),6.25,0)+IF(ISNUMBER(J23),6.25,0))=0,"",(IF(ISNUMBER(J5),J5*6.25,0)+IF(ISNUMBER(J11),J11*6.25,0)+IF(ISNUMBER(J17),J17*6.25,0)+IF(ISNUMBER(J23),J23*6.25,0))/(IF(ISNUMBER(J5),6.25,0)+IF(ISNUMBER(J11),6.25,0)+IF(ISNUMBER(J17),6.25,0)+IF(ISNUMBER(J23),6.25,0)))</f>
        <v/>
      </c>
      <c r="K29" s="39" t="str">
        <f>IF((IF(ISNUMBER(K5),6.25,0)+IF(ISNUMBER(K11),6.25,0)+IF(ISNUMBER(K17),6.25,0)+IF(ISNUMBER(K23),6.25,0))=0,"",(IF(ISNUMBER(K5),K5*6.25,0)+IF(ISNUMBER(K11),K11*6.25,0)+IF(ISNUMBER(K17),K17*6.25,0)+IF(ISNUMBER(K23),K23*6.25,0))/(IF(ISNUMBER(K5),6.25,0)+IF(ISNUMBER(K11),6.25,0)+IF(ISNUMBER(K17),6.25,0)+IF(ISNUMBER(K23),6.25,0)))</f>
        <v/>
      </c>
      <c r="L29" s="39" t="str">
        <f>IF((IF(ISNUMBER(L5),6.25,0)+IF(ISNUMBER(L11),6.25,0)+IF(ISNUMBER(L17),6.25,0)+IF(ISNUMBER(L23),6.25,0))=0,"",(IF(ISNUMBER(L5),L5*6.25,0)+IF(ISNUMBER(L11),L11*6.25,0)+IF(ISNUMBER(L17),L17*6.25,0)+IF(ISNUMBER(L23),L23*6.25,0))/(IF(ISNUMBER(L5),6.25,0)+IF(ISNUMBER(L11),6.25,0)+IF(ISNUMBER(L17),6.25,0)+IF(ISNUMBER(L23),6.25,0)))</f>
        <v/>
      </c>
      <c r="M29" s="39" t="str">
        <f>IF((IF(ISNUMBER(M5),6.25,0)+IF(ISNUMBER(M11),6.25,0)+IF(ISNUMBER(M17),6.25,0)+IF(ISNUMBER(M23),6.25,0))=0,"",(IF(ISNUMBER(M5),M5*6.25,0)+IF(ISNUMBER(M11),M11*6.25,0)+IF(ISNUMBER(M17),M17*6.25,0)+IF(ISNUMBER(M23),M23*6.25,0))/(IF(ISNUMBER(M5),6.25,0)+IF(ISNUMBER(M11),6.25,0)+IF(ISNUMBER(M17),6.25,0)+IF(ISNUMBER(M23),6.25,0)))</f>
        <v/>
      </c>
      <c r="N29" s="39" t="str">
        <f>IF((IF(ISNUMBER(N5),6.25,0)+IF(ISNUMBER(N11),6.25,0)+IF(ISNUMBER(N17),6.25,0)+IF(ISNUMBER(N23),6.25,0))=0,"",(IF(ISNUMBER(N5),N5*6.25,0)+IF(ISNUMBER(N11),N11*6.25,0)+IF(ISNUMBER(N17),N17*6.25,0)+IF(ISNUMBER(N23),N23*6.25,0))/(IF(ISNUMBER(N5),6.25,0)+IF(ISNUMBER(N11),6.25,0)+IF(ISNUMBER(N17),6.25,0)+IF(ISNUMBER(N23),6.25,0)))</f>
        <v/>
      </c>
      <c r="O29" s="39" t="str">
        <f>IF((IF(ISNUMBER(O5),6.25,0)+IF(ISNUMBER(O11),6.25,0)+IF(ISNUMBER(O17),6.25,0)+IF(ISNUMBER(O23),6.25,0))=0,"",(IF(ISNUMBER(O5),O5*6.25,0)+IF(ISNUMBER(O11),O11*6.25,0)+IF(ISNUMBER(O17),O17*6.25,0)+IF(ISNUMBER(O23),O23*6.25,0))/(IF(ISNUMBER(O5),6.25,0)+IF(ISNUMBER(O11),6.25,0)+IF(ISNUMBER(O17),6.25,0)+IF(ISNUMBER(O23),6.25,0)))</f>
        <v/>
      </c>
      <c r="P29" s="39" t="str">
        <f>IF((IF(ISNUMBER(P5),6.25,0)+IF(ISNUMBER(P11),6.25,0)+IF(ISNUMBER(P17),6.25,0)+IF(ISNUMBER(P23),6.25,0))=0,"",(IF(ISNUMBER(P5),P5*6.25,0)+IF(ISNUMBER(P11),P11*6.25,0)+IF(ISNUMBER(P17),P17*6.25,0)+IF(ISNUMBER(P23),P23*6.25,0))/(IF(ISNUMBER(P5),6.25,0)+IF(ISNUMBER(P11),6.25,0)+IF(ISNUMBER(P17),6.25,0)+IF(ISNUMBER(P23),6.25,0)))</f>
        <v/>
      </c>
      <c r="Q29" s="39" t="str">
        <f>IF((IF(ISNUMBER(Q5),6.25,0)+IF(ISNUMBER(Q11),6.25,0)+IF(ISNUMBER(Q17),6.25,0)+IF(ISNUMBER(Q23),6.25,0))=0,"",(IF(ISNUMBER(Q5),Q5*6.25,0)+IF(ISNUMBER(Q11),Q11*6.25,0)+IF(ISNUMBER(Q17),Q17*6.25,0)+IF(ISNUMBER(Q23),Q23*6.25,0))/(IF(ISNUMBER(Q5),6.25,0)+IF(ISNUMBER(Q11),6.25,0)+IF(ISNUMBER(Q17),6.25,0)+IF(ISNUMBER(Q23),6.25,0)))</f>
        <v/>
      </c>
      <c r="R29" s="39" t="str">
        <f>IF((IF(ISNUMBER(R5),6.25,0)+IF(ISNUMBER(R11),6.25,0)+IF(ISNUMBER(R17),6.25,0)+IF(ISNUMBER(R23),6.25,0))=0,"",(IF(ISNUMBER(R5),R5*6.25,0)+IF(ISNUMBER(R11),R11*6.25,0)+IF(ISNUMBER(R17),R17*6.25,0)+IF(ISNUMBER(R23),R23*6.25,0))/(IF(ISNUMBER(R5),6.25,0)+IF(ISNUMBER(R11),6.25,0)+IF(ISNUMBER(R17),6.25,0)+IF(ISNUMBER(R23),6.25,0)))</f>
        <v/>
      </c>
      <c r="S29" s="39" t="str">
        <f>IF((IF(ISNUMBER(S5),6.25,0)+IF(ISNUMBER(S11),6.25,0)+IF(ISNUMBER(S17),6.25,0)+IF(ISNUMBER(S23),6.25,0))=0,"",(IF(ISNUMBER(S5),S5*6.25,0)+IF(ISNUMBER(S11),S11*6.25,0)+IF(ISNUMBER(S17),S17*6.25,0)+IF(ISNUMBER(S23),S23*6.25,0))/(IF(ISNUMBER(S5),6.25,0)+IF(ISNUMBER(S11),6.25,0)+IF(ISNUMBER(S17),6.25,0)+IF(ISNUMBER(S23),6.25,0)))</f>
        <v/>
      </c>
      <c r="T29" s="39" t="str">
        <f>IF((IF(ISNUMBER(T5),6.25,0)+IF(ISNUMBER(T11),6.25,0)+IF(ISNUMBER(T17),6.25,0)+IF(ISNUMBER(T23),6.25,0))=0,"",(IF(ISNUMBER(T5),T5*6.25,0)+IF(ISNUMBER(T11),T11*6.25,0)+IF(ISNUMBER(T17),T17*6.25,0)+IF(ISNUMBER(T23),T23*6.25,0))/(IF(ISNUMBER(T5),6.25,0)+IF(ISNUMBER(T11),6.25,0)+IF(ISNUMBER(T17),6.25,0)+IF(ISNUMBER(T23),6.25,0)))</f>
        <v/>
      </c>
      <c r="U29" s="39" t="str">
        <f>IF((IF(ISNUMBER(U5),6.25,0)+IF(ISNUMBER(U11),6.25,0)+IF(ISNUMBER(U17),6.25,0)+IF(ISNUMBER(U23),6.25,0))=0,"",(IF(ISNUMBER(U5),U5*6.25,0)+IF(ISNUMBER(U11),U11*6.25,0)+IF(ISNUMBER(U17),U17*6.25,0)+IF(ISNUMBER(U23),U23*6.25,0))/(IF(ISNUMBER(U5),6.25,0)+IF(ISNUMBER(U11),6.25,0)+IF(ISNUMBER(U17),6.25,0)+IF(ISNUMBER(U23),6.25,0)))</f>
        <v/>
      </c>
      <c r="V29" s="39" t="str">
        <f>IF((IF(ISNUMBER(V5),6.25,0)+IF(ISNUMBER(V11),6.25,0)+IF(ISNUMBER(V17),6.25,0)+IF(ISNUMBER(V23),6.25,0))=0,"",(IF(ISNUMBER(V5),V5*6.25,0)+IF(ISNUMBER(V11),V11*6.25,0)+IF(ISNUMBER(V17),V17*6.25,0)+IF(ISNUMBER(V23),V23*6.25,0))/(IF(ISNUMBER(V5),6.25,0)+IF(ISNUMBER(V11),6.25,0)+IF(ISNUMBER(V17),6.25,0)+IF(ISNUMBER(V23),6.25,0)))</f>
        <v/>
      </c>
      <c r="W29" s="39" t="str">
        <f>IF((IF(ISNUMBER(W5),6.25,0)+IF(ISNUMBER(W11),6.25,0)+IF(ISNUMBER(W17),6.25,0)+IF(ISNUMBER(W23),6.25,0))=0,"",(IF(ISNUMBER(W5),W5*6.25,0)+IF(ISNUMBER(W11),W11*6.25,0)+IF(ISNUMBER(W17),W17*6.25,0)+IF(ISNUMBER(W23),W23*6.25,0))/(IF(ISNUMBER(W5),6.25,0)+IF(ISNUMBER(W11),6.25,0)+IF(ISNUMBER(W17),6.25,0)+IF(ISNUMBER(W23),6.25,0)))</f>
        <v/>
      </c>
      <c r="X29" s="39" t="str">
        <f>IF((IF(ISNUMBER(X5),6.25,0)+IF(ISNUMBER(X11),6.25,0)+IF(ISNUMBER(X17),6.25,0)+IF(ISNUMBER(X23),6.25,0))=0,"",(IF(ISNUMBER(X5),X5*6.25,0)+IF(ISNUMBER(X11),X11*6.25,0)+IF(ISNUMBER(X17),X17*6.25,0)+IF(ISNUMBER(X23),X23*6.25,0))/(IF(ISNUMBER(X5),6.25,0)+IF(ISNUMBER(X11),6.25,0)+IF(ISNUMBER(X17),6.25,0)+IF(ISNUMBER(X23),6.25,0)))</f>
        <v/>
      </c>
      <c r="Y29" s="39" t="str">
        <f>IF((IF(ISNUMBER(Y5),6.25,0)+IF(ISNUMBER(Y11),6.25,0)+IF(ISNUMBER(Y17),6.25,0)+IF(ISNUMBER(Y23),6.25,0))=0,"",(IF(ISNUMBER(Y5),Y5*6.25,0)+IF(ISNUMBER(Y11),Y11*6.25,0)+IF(ISNUMBER(Y17),Y17*6.25,0)+IF(ISNUMBER(Y23),Y23*6.25,0))/(IF(ISNUMBER(Y5),6.25,0)+IF(ISNUMBER(Y11),6.25,0)+IF(ISNUMBER(Y17),6.25,0)+IF(ISNUMBER(Y23),6.25,0)))</f>
        <v/>
      </c>
      <c r="Z29" s="39" t="str">
        <f>_xlfn.IFERROR(AVERAGE(E29:Y29),"")</f>
        <v/>
      </c>
    </row>
    <row r="30" spans="8:8" ht="20.0" customHeight="1">
      <c r="A30" s="18" t="s">
        <v>106</v>
      </c>
    </row>
    <row r="31" spans="8:8" ht="40.0" customHeight="1">
      <c r="A31" s="28"/>
      <c r="B31" s="29" t="s">
        <v>107</v>
      </c>
      <c r="C31" s="30" t="s">
        <v>108</v>
      </c>
      <c r="D31" s="29">
        <v>6.25</v>
      </c>
      <c r="E31" s="31" t="str">
        <f>IF(COUNTA(E32:E36)=0,"",COUNTIF(E32:E36,"Ya")/5*100)</f>
        <v/>
      </c>
      <c r="F31" s="31" t="str">
        <f>IF(COUNTA(F32:F36)=0,"",COUNTIF(F32:F36,"Ya")/5*100)</f>
        <v/>
      </c>
      <c r="G31" s="31" t="str">
        <f>IF(COUNTA(G32:G36)=0,"",COUNTIF(G32:G36,"Ya")/5*100)</f>
        <v/>
      </c>
      <c r="H31" s="31" t="str">
        <f>IF(COUNTA(H32:H36)=0,"",COUNTIF(H32:H36,"Ya")/5*100)</f>
        <v/>
      </c>
      <c r="I31" s="31" t="str">
        <f>IF(COUNTA(I32:I36)=0,"",COUNTIF(I32:I36,"Ya")/5*100)</f>
        <v/>
      </c>
      <c r="J31" s="31" t="str">
        <f>IF(COUNTA(J32:J36)=0,"",COUNTIF(J32:J36,"Ya")/5*100)</f>
        <v/>
      </c>
      <c r="K31" s="31" t="str">
        <f>IF(COUNTA(K32:K36)=0,"",COUNTIF(K32:K36,"Ya")/5*100)</f>
        <v/>
      </c>
      <c r="L31" s="31" t="str">
        <f>IF(COUNTA(L32:L36)=0,"",COUNTIF(L32:L36,"Ya")/5*100)</f>
        <v/>
      </c>
      <c r="M31" s="31" t="str">
        <f>IF(COUNTA(M32:M36)=0,"",COUNTIF(M32:M36,"Ya")/5*100)</f>
        <v/>
      </c>
      <c r="N31" s="31" t="str">
        <f>IF(COUNTA(N32:N36)=0,"",COUNTIF(N32:N36,"Ya")/5*100)</f>
        <v/>
      </c>
      <c r="O31" s="31" t="str">
        <f>IF(COUNTA(O32:O36)=0,"",COUNTIF(O32:O36,"Ya")/5*100)</f>
        <v/>
      </c>
      <c r="P31" s="31" t="str">
        <f>IF(COUNTA(P32:P36)=0,"",COUNTIF(P32:P36,"Ya")/5*100)</f>
        <v/>
      </c>
      <c r="Q31" s="31" t="str">
        <f>IF(COUNTA(Q32:Q36)=0,"",COUNTIF(Q32:Q36,"Ya")/5*100)</f>
        <v/>
      </c>
      <c r="R31" s="31" t="str">
        <f>IF(COUNTA(R32:R36)=0,"",COUNTIF(R32:R36,"Ya")/5*100)</f>
        <v/>
      </c>
      <c r="S31" s="31" t="str">
        <f>IF(COUNTA(S32:S36)=0,"",COUNTIF(S32:S36,"Ya")/5*100)</f>
        <v/>
      </c>
      <c r="T31" s="31" t="str">
        <f>IF(COUNTA(T32:T36)=0,"",COUNTIF(T32:T36,"Ya")/5*100)</f>
        <v/>
      </c>
      <c r="U31" s="31" t="str">
        <f>IF(COUNTA(U32:U36)=0,"",COUNTIF(U32:U36,"Ya")/5*100)</f>
        <v/>
      </c>
      <c r="V31" s="31" t="str">
        <f>IF(COUNTA(V32:V36)=0,"",COUNTIF(V32:V36,"Ya")/5*100)</f>
        <v/>
      </c>
      <c r="W31" s="31" t="str">
        <f>IF(COUNTA(W32:W36)=0,"",COUNTIF(W32:W36,"Ya")/5*100)</f>
        <v/>
      </c>
      <c r="X31" s="31" t="str">
        <f>IF(COUNTA(X32:X36)=0,"",COUNTIF(X32:X36,"Ya")/5*100)</f>
        <v/>
      </c>
      <c r="Y31" s="31" t="str">
        <f>IF(COUNTA(Y32:Y36)=0,"",COUNTIF(Y32:Y36,"Ya")/5*100)</f>
        <v/>
      </c>
      <c r="Z31" s="31" t="str">
        <f>_xlfn.IFERROR(AVERAGE(E31:Y31),"")</f>
        <v/>
      </c>
    </row>
    <row r="32" spans="8:8" ht="25.0" customHeight="1">
      <c r="A32" s="32"/>
      <c r="B32" s="33" t="s">
        <v>109</v>
      </c>
      <c r="C32" s="34" t="s">
        <v>110</v>
      </c>
      <c r="D32" s="32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8:8" ht="25.0" customHeight="1">
      <c r="A33" s="32"/>
      <c r="B33" s="33" t="s">
        <v>111</v>
      </c>
      <c r="C33" s="34" t="s">
        <v>112</v>
      </c>
      <c r="D33" s="32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8:8" ht="25.0" customHeight="1">
      <c r="A34" s="32"/>
      <c r="B34" s="33" t="s">
        <v>113</v>
      </c>
      <c r="C34" s="34" t="s">
        <v>114</v>
      </c>
      <c r="D34" s="32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8:8" ht="25.0" customHeight="1">
      <c r="A35" s="32"/>
      <c r="B35" s="33" t="s">
        <v>115</v>
      </c>
      <c r="C35" s="34" t="s">
        <v>116</v>
      </c>
      <c r="D35" s="32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8:8" ht="25.0" customHeight="1">
      <c r="A36" s="32"/>
      <c r="B36" s="33" t="s">
        <v>117</v>
      </c>
      <c r="C36" s="34" t="s">
        <v>118</v>
      </c>
      <c r="D36" s="32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8:8" ht="40.0" customHeight="1">
      <c r="A37" s="28"/>
      <c r="B37" s="29" t="s">
        <v>119</v>
      </c>
      <c r="C37" s="30" t="s">
        <v>120</v>
      </c>
      <c r="D37" s="29">
        <v>6.25</v>
      </c>
      <c r="E37" s="31" t="str">
        <f>IF(COUNTA(E38:E42)=0,"",COUNTIF(E38:E42,"Ya")/5*100)</f>
        <v/>
      </c>
      <c r="F37" s="31" t="str">
        <f>IF(COUNTA(F38:F42)=0,"",COUNTIF(F38:F42,"Ya")/5*100)</f>
        <v/>
      </c>
      <c r="G37" s="31" t="str">
        <f>IF(COUNTA(G38:G42)=0,"",COUNTIF(G38:G42,"Ya")/5*100)</f>
        <v/>
      </c>
      <c r="H37" s="31" t="str">
        <f>IF(COUNTA(H38:H42)=0,"",COUNTIF(H38:H42,"Ya")/5*100)</f>
        <v/>
      </c>
      <c r="I37" s="31" t="str">
        <f>IF(COUNTA(I38:I42)=0,"",COUNTIF(I38:I42,"Ya")/5*100)</f>
        <v/>
      </c>
      <c r="J37" s="31" t="str">
        <f>IF(COUNTA(J38:J42)=0,"",COUNTIF(J38:J42,"Ya")/5*100)</f>
        <v/>
      </c>
      <c r="K37" s="31" t="str">
        <f>IF(COUNTA(K38:K42)=0,"",COUNTIF(K38:K42,"Ya")/5*100)</f>
        <v/>
      </c>
      <c r="L37" s="31" t="str">
        <f>IF(COUNTA(L38:L42)=0,"",COUNTIF(L38:L42,"Ya")/5*100)</f>
        <v/>
      </c>
      <c r="M37" s="31" t="str">
        <f>IF(COUNTA(M38:M42)=0,"",COUNTIF(M38:M42,"Ya")/5*100)</f>
        <v/>
      </c>
      <c r="N37" s="31" t="str">
        <f>IF(COUNTA(N38:N42)=0,"",COUNTIF(N38:N42,"Ya")/5*100)</f>
        <v/>
      </c>
      <c r="O37" s="31" t="str">
        <f>IF(COUNTA(O38:O42)=0,"",COUNTIF(O38:O42,"Ya")/5*100)</f>
        <v/>
      </c>
      <c r="P37" s="31" t="str">
        <f>IF(COUNTA(P38:P42)=0,"",COUNTIF(P38:P42,"Ya")/5*100)</f>
        <v/>
      </c>
      <c r="Q37" s="31" t="str">
        <f>IF(COUNTA(Q38:Q42)=0,"",COUNTIF(Q38:Q42,"Ya")/5*100)</f>
        <v/>
      </c>
      <c r="R37" s="31" t="str">
        <f>IF(COUNTA(R38:R42)=0,"",COUNTIF(R38:R42,"Ya")/5*100)</f>
        <v/>
      </c>
      <c r="S37" s="31" t="str">
        <f>IF(COUNTA(S38:S42)=0,"",COUNTIF(S38:S42,"Ya")/5*100)</f>
        <v/>
      </c>
      <c r="T37" s="31" t="str">
        <f>IF(COUNTA(T38:T42)=0,"",COUNTIF(T38:T42,"Ya")/5*100)</f>
        <v/>
      </c>
      <c r="U37" s="31" t="str">
        <f>IF(COUNTA(U38:U42)=0,"",COUNTIF(U38:U42,"Ya")/5*100)</f>
        <v/>
      </c>
      <c r="V37" s="31" t="str">
        <f>IF(COUNTA(V38:V42)=0,"",COUNTIF(V38:V42,"Ya")/5*100)</f>
        <v/>
      </c>
      <c r="W37" s="31" t="str">
        <f>IF(COUNTA(W38:W42)=0,"",COUNTIF(W38:W42,"Ya")/5*100)</f>
        <v/>
      </c>
      <c r="X37" s="31" t="str">
        <f>IF(COUNTA(X38:X42)=0,"",COUNTIF(X38:X42,"Ya")/5*100)</f>
        <v/>
      </c>
      <c r="Y37" s="31" t="str">
        <f>IF(COUNTA(Y38:Y42)=0,"",COUNTIF(Y38:Y42,"Ya")/5*100)</f>
        <v/>
      </c>
      <c r="Z37" s="31" t="str">
        <f>_xlfn.IFERROR(AVERAGE(E37:Y37),"")</f>
        <v/>
      </c>
    </row>
    <row r="38" spans="8:8" ht="25.0" customHeight="1">
      <c r="A38" s="32"/>
      <c r="B38" s="33" t="s">
        <v>121</v>
      </c>
      <c r="C38" s="34" t="s">
        <v>122</v>
      </c>
      <c r="D38" s="32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8:8" ht="25.0" customHeight="1">
      <c r="A39" s="32"/>
      <c r="B39" s="33" t="s">
        <v>123</v>
      </c>
      <c r="C39" s="34" t="s">
        <v>124</v>
      </c>
      <c r="D39" s="32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8:8" ht="25.0" customHeight="1">
      <c r="A40" s="32"/>
      <c r="B40" s="33" t="s">
        <v>125</v>
      </c>
      <c r="C40" s="34" t="s">
        <v>126</v>
      </c>
      <c r="D40" s="32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8:8" ht="25.0" customHeight="1">
      <c r="A41" s="32"/>
      <c r="B41" s="33" t="s">
        <v>127</v>
      </c>
      <c r="C41" s="34" t="s">
        <v>128</v>
      </c>
      <c r="D41" s="32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8:8" ht="25.0" customHeight="1">
      <c r="A42" s="32"/>
      <c r="B42" s="33" t="s">
        <v>129</v>
      </c>
      <c r="C42" s="34" t="s">
        <v>130</v>
      </c>
      <c r="D42" s="32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8:8" ht="28.0" customHeight="1">
      <c r="A43" s="28"/>
      <c r="B43" s="29" t="s">
        <v>131</v>
      </c>
      <c r="C43" s="30" t="s">
        <v>132</v>
      </c>
      <c r="D43" s="29">
        <v>6.25</v>
      </c>
      <c r="E43" s="31" t="str">
        <f>IF(COUNTA(E44:E48)=0,"",COUNTIF(E44:E48,"Ya")/5*100)</f>
        <v/>
      </c>
      <c r="F43" s="31" t="str">
        <f>IF(COUNTA(F44:F48)=0,"",COUNTIF(F44:F48,"Ya")/5*100)</f>
        <v/>
      </c>
      <c r="G43" s="31" t="str">
        <f>IF(COUNTA(G44:G48)=0,"",COUNTIF(G44:G48,"Ya")/5*100)</f>
        <v/>
      </c>
      <c r="H43" s="31" t="str">
        <f>IF(COUNTA(H44:H48)=0,"",COUNTIF(H44:H48,"Ya")/5*100)</f>
        <v/>
      </c>
      <c r="I43" s="31" t="str">
        <f>IF(COUNTA(I44:I48)=0,"",COUNTIF(I44:I48,"Ya")/5*100)</f>
        <v/>
      </c>
      <c r="J43" s="31" t="str">
        <f>IF(COUNTA(J44:J48)=0,"",COUNTIF(J44:J48,"Ya")/5*100)</f>
        <v/>
      </c>
      <c r="K43" s="31" t="str">
        <f>IF(COUNTA(K44:K48)=0,"",COUNTIF(K44:K48,"Ya")/5*100)</f>
        <v/>
      </c>
      <c r="L43" s="31" t="str">
        <f>IF(COUNTA(L44:L48)=0,"",COUNTIF(L44:L48,"Ya")/5*100)</f>
        <v/>
      </c>
      <c r="M43" s="31" t="str">
        <f>IF(COUNTA(M44:M48)=0,"",COUNTIF(M44:M48,"Ya")/5*100)</f>
        <v/>
      </c>
      <c r="N43" s="31" t="str">
        <f>IF(COUNTA(N44:N48)=0,"",COUNTIF(N44:N48,"Ya")/5*100)</f>
        <v/>
      </c>
      <c r="O43" s="31" t="str">
        <f>IF(COUNTA(O44:O48)=0,"",COUNTIF(O44:O48,"Ya")/5*100)</f>
        <v/>
      </c>
      <c r="P43" s="31" t="str">
        <f>IF(COUNTA(P44:P48)=0,"",COUNTIF(P44:P48,"Ya")/5*100)</f>
        <v/>
      </c>
      <c r="Q43" s="31" t="str">
        <f>IF(COUNTA(Q44:Q48)=0,"",COUNTIF(Q44:Q48,"Ya")/5*100)</f>
        <v/>
      </c>
      <c r="R43" s="31" t="str">
        <f>IF(COUNTA(R44:R48)=0,"",COUNTIF(R44:R48,"Ya")/5*100)</f>
        <v/>
      </c>
      <c r="S43" s="31" t="str">
        <f>IF(COUNTA(S44:S48)=0,"",COUNTIF(S44:S48,"Ya")/5*100)</f>
        <v/>
      </c>
      <c r="T43" s="31" t="str">
        <f>IF(COUNTA(T44:T48)=0,"",COUNTIF(T44:T48,"Ya")/5*100)</f>
        <v/>
      </c>
      <c r="U43" s="31" t="str">
        <f>IF(COUNTA(U44:U48)=0,"",COUNTIF(U44:U48,"Ya")/5*100)</f>
        <v/>
      </c>
      <c r="V43" s="31" t="str">
        <f>IF(COUNTA(V44:V48)=0,"",COUNTIF(V44:V48,"Ya")/5*100)</f>
        <v/>
      </c>
      <c r="W43" s="31" t="str">
        <f>IF(COUNTA(W44:W48)=0,"",COUNTIF(W44:W48,"Ya")/5*100)</f>
        <v/>
      </c>
      <c r="X43" s="31" t="str">
        <f>IF(COUNTA(X44:X48)=0,"",COUNTIF(X44:X48,"Ya")/5*100)</f>
        <v/>
      </c>
      <c r="Y43" s="31" t="str">
        <f>IF(COUNTA(Y44:Y48)=0,"",COUNTIF(Y44:Y48,"Ya")/5*100)</f>
        <v/>
      </c>
      <c r="Z43" s="31" t="str">
        <f>_xlfn.IFERROR(AVERAGE(E43:Y43),"")</f>
        <v/>
      </c>
    </row>
    <row r="44" spans="8:8" ht="25.0" customHeight="1">
      <c r="A44" s="32"/>
      <c r="B44" s="33" t="s">
        <v>133</v>
      </c>
      <c r="C44" s="34" t="s">
        <v>134</v>
      </c>
      <c r="D44" s="32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8:8" ht="14.0" customHeight="1">
      <c r="A45" s="32"/>
      <c r="B45" s="33" t="s">
        <v>135</v>
      </c>
      <c r="C45" s="34" t="s">
        <v>136</v>
      </c>
      <c r="D45" s="32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8:8" ht="25.0" customHeight="1">
      <c r="A46" s="32"/>
      <c r="B46" s="33" t="s">
        <v>137</v>
      </c>
      <c r="C46" s="34" t="s">
        <v>138</v>
      </c>
      <c r="D46" s="32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8:8" ht="25.0" customHeight="1">
      <c r="A47" s="32"/>
      <c r="B47" s="33" t="s">
        <v>139</v>
      </c>
      <c r="C47" s="34" t="s">
        <v>140</v>
      </c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8:8" ht="25.0" customHeight="1">
      <c r="A48" s="32"/>
      <c r="B48" s="33" t="s">
        <v>141</v>
      </c>
      <c r="C48" s="34" t="s">
        <v>142</v>
      </c>
      <c r="D48" s="32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8:8" ht="18.0" customHeight="1">
      <c r="A49" s="36"/>
      <c r="B49" s="36"/>
      <c r="C49" s="37" t="s">
        <v>143</v>
      </c>
      <c r="D49" s="38">
        <v>18.75</v>
      </c>
      <c r="E49" s="39" t="str">
        <f>IF((IF(ISNUMBER(E31),6.25,0)+IF(ISNUMBER(E37),6.25,0)+IF(ISNUMBER(E43),6.25,0))=0,"",(IF(ISNUMBER(E31),E31*6.25,0)+IF(ISNUMBER(E37),E37*6.25,0)+IF(ISNUMBER(E43),E43*6.25,0))/(IF(ISNUMBER(E31),6.25,0)+IF(ISNUMBER(E37),6.25,0)+IF(ISNUMBER(E43),6.25,0)))</f>
        <v/>
      </c>
      <c r="F49" s="39" t="str">
        <f>IF((IF(ISNUMBER(F31),6.25,0)+IF(ISNUMBER(F37),6.25,0)+IF(ISNUMBER(F43),6.25,0))=0,"",(IF(ISNUMBER(F31),F31*6.25,0)+IF(ISNUMBER(F37),F37*6.25,0)+IF(ISNUMBER(F43),F43*6.25,0))/(IF(ISNUMBER(F31),6.25,0)+IF(ISNUMBER(F37),6.25,0)+IF(ISNUMBER(F43),6.25,0)))</f>
        <v/>
      </c>
      <c r="G49" s="39" t="str">
        <f>IF((IF(ISNUMBER(G31),6.25,0)+IF(ISNUMBER(G37),6.25,0)+IF(ISNUMBER(G43),6.25,0))=0,"",(IF(ISNUMBER(G31),G31*6.25,0)+IF(ISNUMBER(G37),G37*6.25,0)+IF(ISNUMBER(G43),G43*6.25,0))/(IF(ISNUMBER(G31),6.25,0)+IF(ISNUMBER(G37),6.25,0)+IF(ISNUMBER(G43),6.25,0)))</f>
        <v/>
      </c>
      <c r="H49" s="39" t="str">
        <f>IF((IF(ISNUMBER(H31),6.25,0)+IF(ISNUMBER(H37),6.25,0)+IF(ISNUMBER(H43),6.25,0))=0,"",(IF(ISNUMBER(H31),H31*6.25,0)+IF(ISNUMBER(H37),H37*6.25,0)+IF(ISNUMBER(H43),H43*6.25,0))/(IF(ISNUMBER(H31),6.25,0)+IF(ISNUMBER(H37),6.25,0)+IF(ISNUMBER(H43),6.25,0)))</f>
        <v/>
      </c>
      <c r="I49" s="39" t="str">
        <f>IF((IF(ISNUMBER(I31),6.25,0)+IF(ISNUMBER(I37),6.25,0)+IF(ISNUMBER(I43),6.25,0))=0,"",(IF(ISNUMBER(I31),I31*6.25,0)+IF(ISNUMBER(I37),I37*6.25,0)+IF(ISNUMBER(I43),I43*6.25,0))/(IF(ISNUMBER(I31),6.25,0)+IF(ISNUMBER(I37),6.25,0)+IF(ISNUMBER(I43),6.25,0)))</f>
        <v/>
      </c>
      <c r="J49" s="39" t="str">
        <f>IF((IF(ISNUMBER(J31),6.25,0)+IF(ISNUMBER(J37),6.25,0)+IF(ISNUMBER(J43),6.25,0))=0,"",(IF(ISNUMBER(J31),J31*6.25,0)+IF(ISNUMBER(J37),J37*6.25,0)+IF(ISNUMBER(J43),J43*6.25,0))/(IF(ISNUMBER(J31),6.25,0)+IF(ISNUMBER(J37),6.25,0)+IF(ISNUMBER(J43),6.25,0)))</f>
        <v/>
      </c>
      <c r="K49" s="39" t="str">
        <f>IF((IF(ISNUMBER(K31),6.25,0)+IF(ISNUMBER(K37),6.25,0)+IF(ISNUMBER(K43),6.25,0))=0,"",(IF(ISNUMBER(K31),K31*6.25,0)+IF(ISNUMBER(K37),K37*6.25,0)+IF(ISNUMBER(K43),K43*6.25,0))/(IF(ISNUMBER(K31),6.25,0)+IF(ISNUMBER(K37),6.25,0)+IF(ISNUMBER(K43),6.25,0)))</f>
        <v/>
      </c>
      <c r="L49" s="39" t="str">
        <f>IF((IF(ISNUMBER(L31),6.25,0)+IF(ISNUMBER(L37),6.25,0)+IF(ISNUMBER(L43),6.25,0))=0,"",(IF(ISNUMBER(L31),L31*6.25,0)+IF(ISNUMBER(L37),L37*6.25,0)+IF(ISNUMBER(L43),L43*6.25,0))/(IF(ISNUMBER(L31),6.25,0)+IF(ISNUMBER(L37),6.25,0)+IF(ISNUMBER(L43),6.25,0)))</f>
        <v/>
      </c>
      <c r="M49" s="39" t="str">
        <f>IF((IF(ISNUMBER(M31),6.25,0)+IF(ISNUMBER(M37),6.25,0)+IF(ISNUMBER(M43),6.25,0))=0,"",(IF(ISNUMBER(M31),M31*6.25,0)+IF(ISNUMBER(M37),M37*6.25,0)+IF(ISNUMBER(M43),M43*6.25,0))/(IF(ISNUMBER(M31),6.25,0)+IF(ISNUMBER(M37),6.25,0)+IF(ISNUMBER(M43),6.25,0)))</f>
        <v/>
      </c>
      <c r="N49" s="39" t="str">
        <f>IF((IF(ISNUMBER(N31),6.25,0)+IF(ISNUMBER(N37),6.25,0)+IF(ISNUMBER(N43),6.25,0))=0,"",(IF(ISNUMBER(N31),N31*6.25,0)+IF(ISNUMBER(N37),N37*6.25,0)+IF(ISNUMBER(N43),N43*6.25,0))/(IF(ISNUMBER(N31),6.25,0)+IF(ISNUMBER(N37),6.25,0)+IF(ISNUMBER(N43),6.25,0)))</f>
        <v/>
      </c>
      <c r="O49" s="39" t="str">
        <f>IF((IF(ISNUMBER(O31),6.25,0)+IF(ISNUMBER(O37),6.25,0)+IF(ISNUMBER(O43),6.25,0))=0,"",(IF(ISNUMBER(O31),O31*6.25,0)+IF(ISNUMBER(O37),O37*6.25,0)+IF(ISNUMBER(O43),O43*6.25,0))/(IF(ISNUMBER(O31),6.25,0)+IF(ISNUMBER(O37),6.25,0)+IF(ISNUMBER(O43),6.25,0)))</f>
        <v/>
      </c>
      <c r="P49" s="39" t="str">
        <f>IF((IF(ISNUMBER(P31),6.25,0)+IF(ISNUMBER(P37),6.25,0)+IF(ISNUMBER(P43),6.25,0))=0,"",(IF(ISNUMBER(P31),P31*6.25,0)+IF(ISNUMBER(P37),P37*6.25,0)+IF(ISNUMBER(P43),P43*6.25,0))/(IF(ISNUMBER(P31),6.25,0)+IF(ISNUMBER(P37),6.25,0)+IF(ISNUMBER(P43),6.25,0)))</f>
        <v/>
      </c>
      <c r="Q49" s="39" t="str">
        <f>IF((IF(ISNUMBER(Q31),6.25,0)+IF(ISNUMBER(Q37),6.25,0)+IF(ISNUMBER(Q43),6.25,0))=0,"",(IF(ISNUMBER(Q31),Q31*6.25,0)+IF(ISNUMBER(Q37),Q37*6.25,0)+IF(ISNUMBER(Q43),Q43*6.25,0))/(IF(ISNUMBER(Q31),6.25,0)+IF(ISNUMBER(Q37),6.25,0)+IF(ISNUMBER(Q43),6.25,0)))</f>
        <v/>
      </c>
      <c r="R49" s="39" t="str">
        <f>IF((IF(ISNUMBER(R31),6.25,0)+IF(ISNUMBER(R37),6.25,0)+IF(ISNUMBER(R43),6.25,0))=0,"",(IF(ISNUMBER(R31),R31*6.25,0)+IF(ISNUMBER(R37),R37*6.25,0)+IF(ISNUMBER(R43),R43*6.25,0))/(IF(ISNUMBER(R31),6.25,0)+IF(ISNUMBER(R37),6.25,0)+IF(ISNUMBER(R43),6.25,0)))</f>
        <v/>
      </c>
      <c r="S49" s="39" t="str">
        <f>IF((IF(ISNUMBER(S31),6.25,0)+IF(ISNUMBER(S37),6.25,0)+IF(ISNUMBER(S43),6.25,0))=0,"",(IF(ISNUMBER(S31),S31*6.25,0)+IF(ISNUMBER(S37),S37*6.25,0)+IF(ISNUMBER(S43),S43*6.25,0))/(IF(ISNUMBER(S31),6.25,0)+IF(ISNUMBER(S37),6.25,0)+IF(ISNUMBER(S43),6.25,0)))</f>
        <v/>
      </c>
      <c r="T49" s="39" t="str">
        <f>IF((IF(ISNUMBER(T31),6.25,0)+IF(ISNUMBER(T37),6.25,0)+IF(ISNUMBER(T43),6.25,0))=0,"",(IF(ISNUMBER(T31),T31*6.25,0)+IF(ISNUMBER(T37),T37*6.25,0)+IF(ISNUMBER(T43),T43*6.25,0))/(IF(ISNUMBER(T31),6.25,0)+IF(ISNUMBER(T37),6.25,0)+IF(ISNUMBER(T43),6.25,0)))</f>
        <v/>
      </c>
      <c r="U49" s="39" t="str">
        <f>IF((IF(ISNUMBER(U31),6.25,0)+IF(ISNUMBER(U37),6.25,0)+IF(ISNUMBER(U43),6.25,0))=0,"",(IF(ISNUMBER(U31),U31*6.25,0)+IF(ISNUMBER(U37),U37*6.25,0)+IF(ISNUMBER(U43),U43*6.25,0))/(IF(ISNUMBER(U31),6.25,0)+IF(ISNUMBER(U37),6.25,0)+IF(ISNUMBER(U43),6.25,0)))</f>
        <v/>
      </c>
      <c r="V49" s="39" t="str">
        <f>IF((IF(ISNUMBER(V31),6.25,0)+IF(ISNUMBER(V37),6.25,0)+IF(ISNUMBER(V43),6.25,0))=0,"",(IF(ISNUMBER(V31),V31*6.25,0)+IF(ISNUMBER(V37),V37*6.25,0)+IF(ISNUMBER(V43),V43*6.25,0))/(IF(ISNUMBER(V31),6.25,0)+IF(ISNUMBER(V37),6.25,0)+IF(ISNUMBER(V43),6.25,0)))</f>
        <v/>
      </c>
      <c r="W49" s="39" t="str">
        <f>IF((IF(ISNUMBER(W31),6.25,0)+IF(ISNUMBER(W37),6.25,0)+IF(ISNUMBER(W43),6.25,0))=0,"",(IF(ISNUMBER(W31),W31*6.25,0)+IF(ISNUMBER(W37),W37*6.25,0)+IF(ISNUMBER(W43),W43*6.25,0))/(IF(ISNUMBER(W31),6.25,0)+IF(ISNUMBER(W37),6.25,0)+IF(ISNUMBER(W43),6.25,0)))</f>
        <v/>
      </c>
      <c r="X49" s="39" t="str">
        <f>IF((IF(ISNUMBER(X31),6.25,0)+IF(ISNUMBER(X37),6.25,0)+IF(ISNUMBER(X43),6.25,0))=0,"",(IF(ISNUMBER(X31),X31*6.25,0)+IF(ISNUMBER(X37),X37*6.25,0)+IF(ISNUMBER(X43),X43*6.25,0))/(IF(ISNUMBER(X31),6.25,0)+IF(ISNUMBER(X37),6.25,0)+IF(ISNUMBER(X43),6.25,0)))</f>
        <v/>
      </c>
      <c r="Y49" s="39" t="str">
        <f>IF((IF(ISNUMBER(Y31),6.25,0)+IF(ISNUMBER(Y37),6.25,0)+IF(ISNUMBER(Y43),6.25,0))=0,"",(IF(ISNUMBER(Y31),Y31*6.25,0)+IF(ISNUMBER(Y37),Y37*6.25,0)+IF(ISNUMBER(Y43),Y43*6.25,0))/(IF(ISNUMBER(Y31),6.25,0)+IF(ISNUMBER(Y37),6.25,0)+IF(ISNUMBER(Y43),6.25,0)))</f>
        <v/>
      </c>
      <c r="Z49" s="39" t="str">
        <f>_xlfn.IFERROR(AVERAGE(E49:Y49),"")</f>
        <v/>
      </c>
    </row>
    <row r="50" spans="8:8" ht="20.0" customHeight="1">
      <c r="A50" s="18" t="s">
        <v>144</v>
      </c>
    </row>
    <row r="51" spans="8:8" ht="40.0" customHeight="1">
      <c r="A51" s="28"/>
      <c r="B51" s="29" t="s">
        <v>145</v>
      </c>
      <c r="C51" s="30" t="s">
        <v>146</v>
      </c>
      <c r="D51" s="29">
        <v>6.25</v>
      </c>
      <c r="E51" s="31" t="str">
        <f>IF(COUNTA(E52:E56)=0,"",COUNTIF(E52:E56,"Ya")/5*100)</f>
        <v/>
      </c>
      <c r="F51" s="31" t="str">
        <f>IF(COUNTA(F52:F56)=0,"",COUNTIF(F52:F56,"Ya")/5*100)</f>
        <v/>
      </c>
      <c r="G51" s="31" t="str">
        <f>IF(COUNTA(G52:G56)=0,"",COUNTIF(G52:G56,"Ya")/5*100)</f>
        <v/>
      </c>
      <c r="H51" s="31" t="str">
        <f>IF(COUNTA(H52:H56)=0,"",COUNTIF(H52:H56,"Ya")/5*100)</f>
        <v/>
      </c>
      <c r="I51" s="31" t="str">
        <f>IF(COUNTA(I52:I56)=0,"",COUNTIF(I52:I56,"Ya")/5*100)</f>
        <v/>
      </c>
      <c r="J51" s="31" t="str">
        <f>IF(COUNTA(J52:J56)=0,"",COUNTIF(J52:J56,"Ya")/5*100)</f>
        <v/>
      </c>
      <c r="K51" s="31" t="str">
        <f>IF(COUNTA(K52:K56)=0,"",COUNTIF(K52:K56,"Ya")/5*100)</f>
        <v/>
      </c>
      <c r="L51" s="31" t="str">
        <f>IF(COUNTA(L52:L56)=0,"",COUNTIF(L52:L56,"Ya")/5*100)</f>
        <v/>
      </c>
      <c r="M51" s="31" t="str">
        <f>IF(COUNTA(M52:M56)=0,"",COUNTIF(M52:M56,"Ya")/5*100)</f>
        <v/>
      </c>
      <c r="N51" s="31" t="str">
        <f>IF(COUNTA(N52:N56)=0,"",COUNTIF(N52:N56,"Ya")/5*100)</f>
        <v/>
      </c>
      <c r="O51" s="31" t="str">
        <f>IF(COUNTA(O52:O56)=0,"",COUNTIF(O52:O56,"Ya")/5*100)</f>
        <v/>
      </c>
      <c r="P51" s="31" t="str">
        <f>IF(COUNTA(P52:P56)=0,"",COUNTIF(P52:P56,"Ya")/5*100)</f>
        <v/>
      </c>
      <c r="Q51" s="31" t="str">
        <f>IF(COUNTA(Q52:Q56)=0,"",COUNTIF(Q52:Q56,"Ya")/5*100)</f>
        <v/>
      </c>
      <c r="R51" s="31" t="str">
        <f>IF(COUNTA(R52:R56)=0,"",COUNTIF(R52:R56,"Ya")/5*100)</f>
        <v/>
      </c>
      <c r="S51" s="31" t="str">
        <f>IF(COUNTA(S52:S56)=0,"",COUNTIF(S52:S56,"Ya")/5*100)</f>
        <v/>
      </c>
      <c r="T51" s="31" t="str">
        <f>IF(COUNTA(T52:T56)=0,"",COUNTIF(T52:T56,"Ya")/5*100)</f>
        <v/>
      </c>
      <c r="U51" s="31" t="str">
        <f>IF(COUNTA(U52:U56)=0,"",COUNTIF(U52:U56,"Ya")/5*100)</f>
        <v/>
      </c>
      <c r="V51" s="31" t="str">
        <f>IF(COUNTA(V52:V56)=0,"",COUNTIF(V52:V56,"Ya")/5*100)</f>
        <v/>
      </c>
      <c r="W51" s="31" t="str">
        <f>IF(COUNTA(W52:W56)=0,"",COUNTIF(W52:W56,"Ya")/5*100)</f>
        <v/>
      </c>
      <c r="X51" s="31" t="str">
        <f>IF(COUNTA(X52:X56)=0,"",COUNTIF(X52:X56,"Ya")/5*100)</f>
        <v/>
      </c>
      <c r="Y51" s="31" t="str">
        <f>IF(COUNTA(Y52:Y56)=0,"",COUNTIF(Y52:Y56,"Ya")/5*100)</f>
        <v/>
      </c>
      <c r="Z51" s="31" t="str">
        <f>_xlfn.IFERROR(AVERAGE(E51:Y51),"")</f>
        <v/>
      </c>
    </row>
    <row r="52" spans="8:8" ht="25.0" customHeight="1">
      <c r="A52" s="32"/>
      <c r="B52" s="33" t="s">
        <v>147</v>
      </c>
      <c r="C52" s="34" t="s">
        <v>148</v>
      </c>
      <c r="D52" s="32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8:8" ht="25.0" customHeight="1">
      <c r="A53" s="32"/>
      <c r="B53" s="33" t="s">
        <v>149</v>
      </c>
      <c r="C53" s="34" t="s">
        <v>150</v>
      </c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8:8" ht="25.0" customHeight="1">
      <c r="A54" s="32"/>
      <c r="B54" s="33" t="s">
        <v>151</v>
      </c>
      <c r="C54" s="34" t="s">
        <v>152</v>
      </c>
      <c r="D54" s="32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8:8" ht="25.0" customHeight="1">
      <c r="A55" s="32"/>
      <c r="B55" s="33" t="s">
        <v>153</v>
      </c>
      <c r="C55" s="34" t="s">
        <v>154</v>
      </c>
      <c r="D55" s="32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8:8" ht="25.0" customHeight="1">
      <c r="A56" s="32"/>
      <c r="B56" s="33" t="s">
        <v>155</v>
      </c>
      <c r="C56" s="34" t="s">
        <v>156</v>
      </c>
      <c r="D56" s="32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8:8" ht="40.0" customHeight="1">
      <c r="A57" s="28"/>
      <c r="B57" s="29" t="s">
        <v>157</v>
      </c>
      <c r="C57" s="30" t="s">
        <v>158</v>
      </c>
      <c r="D57" s="29">
        <v>6.25</v>
      </c>
      <c r="E57" s="31" t="str">
        <f>IF(COUNTA(E58:E62)=0,"",COUNTIF(E58:E62,"Ya")/5*100)</f>
        <v/>
      </c>
      <c r="F57" s="31" t="str">
        <f>IF(COUNTA(F58:F62)=0,"",COUNTIF(F58:F62,"Ya")/5*100)</f>
        <v/>
      </c>
      <c r="G57" s="31" t="str">
        <f>IF(COUNTA(G58:G62)=0,"",COUNTIF(G58:G62,"Ya")/5*100)</f>
        <v/>
      </c>
      <c r="H57" s="31" t="str">
        <f>IF(COUNTA(H58:H62)=0,"",COUNTIF(H58:H62,"Ya")/5*100)</f>
        <v/>
      </c>
      <c r="I57" s="31" t="str">
        <f>IF(COUNTA(I58:I62)=0,"",COUNTIF(I58:I62,"Ya")/5*100)</f>
        <v/>
      </c>
      <c r="J57" s="31" t="str">
        <f>IF(COUNTA(J58:J62)=0,"",COUNTIF(J58:J62,"Ya")/5*100)</f>
        <v/>
      </c>
      <c r="K57" s="31" t="str">
        <f>IF(COUNTA(K58:K62)=0,"",COUNTIF(K58:K62,"Ya")/5*100)</f>
        <v/>
      </c>
      <c r="L57" s="31" t="str">
        <f>IF(COUNTA(L58:L62)=0,"",COUNTIF(L58:L62,"Ya")/5*100)</f>
        <v/>
      </c>
      <c r="M57" s="31" t="str">
        <f>IF(COUNTA(M58:M62)=0,"",COUNTIF(M58:M62,"Ya")/5*100)</f>
        <v/>
      </c>
      <c r="N57" s="31" t="str">
        <f>IF(COUNTA(N58:N62)=0,"",COUNTIF(N58:N62,"Ya")/5*100)</f>
        <v/>
      </c>
      <c r="O57" s="31" t="str">
        <f>IF(COUNTA(O58:O62)=0,"",COUNTIF(O58:O62,"Ya")/5*100)</f>
        <v/>
      </c>
      <c r="P57" s="31" t="str">
        <f>IF(COUNTA(P58:P62)=0,"",COUNTIF(P58:P62,"Ya")/5*100)</f>
        <v/>
      </c>
      <c r="Q57" s="31" t="str">
        <f>IF(COUNTA(Q58:Q62)=0,"",COUNTIF(Q58:Q62,"Ya")/5*100)</f>
        <v/>
      </c>
      <c r="R57" s="31" t="str">
        <f>IF(COUNTA(R58:R62)=0,"",COUNTIF(R58:R62,"Ya")/5*100)</f>
        <v/>
      </c>
      <c r="S57" s="31" t="str">
        <f>IF(COUNTA(S58:S62)=0,"",COUNTIF(S58:S62,"Ya")/5*100)</f>
        <v/>
      </c>
      <c r="T57" s="31" t="str">
        <f>IF(COUNTA(T58:T62)=0,"",COUNTIF(T58:T62,"Ya")/5*100)</f>
        <v/>
      </c>
      <c r="U57" s="31" t="str">
        <f>IF(COUNTA(U58:U62)=0,"",COUNTIF(U58:U62,"Ya")/5*100)</f>
        <v/>
      </c>
      <c r="V57" s="31" t="str">
        <f>IF(COUNTA(V58:V62)=0,"",COUNTIF(V58:V62,"Ya")/5*100)</f>
        <v/>
      </c>
      <c r="W57" s="31" t="str">
        <f>IF(COUNTA(W58:W62)=0,"",COUNTIF(W58:W62,"Ya")/5*100)</f>
        <v/>
      </c>
      <c r="X57" s="31" t="str">
        <f>IF(COUNTA(X58:X62)=0,"",COUNTIF(X58:X62,"Ya")/5*100)</f>
        <v/>
      </c>
      <c r="Y57" s="31" t="str">
        <f>IF(COUNTA(Y58:Y62)=0,"",COUNTIF(Y58:Y62,"Ya")/5*100)</f>
        <v/>
      </c>
      <c r="Z57" s="31" t="str">
        <f>_xlfn.IFERROR(AVERAGE(E57:Y57),"")</f>
        <v/>
      </c>
    </row>
    <row r="58" spans="8:8" ht="25.0" customHeight="1">
      <c r="A58" s="32"/>
      <c r="B58" s="33" t="s">
        <v>159</v>
      </c>
      <c r="C58" s="34" t="s">
        <v>160</v>
      </c>
      <c r="D58" s="3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8:8" ht="25.0" customHeight="1">
      <c r="A59" s="32"/>
      <c r="B59" s="33" t="s">
        <v>161</v>
      </c>
      <c r="C59" s="34" t="s">
        <v>162</v>
      </c>
      <c r="D59" s="32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8:8" ht="25.0" customHeight="1">
      <c r="A60" s="32"/>
      <c r="B60" s="33" t="s">
        <v>163</v>
      </c>
      <c r="C60" s="34" t="s">
        <v>164</v>
      </c>
      <c r="D60" s="3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8:8" ht="25.0" customHeight="1">
      <c r="A61" s="32"/>
      <c r="B61" s="33" t="s">
        <v>165</v>
      </c>
      <c r="C61" s="34" t="s">
        <v>166</v>
      </c>
      <c r="D61" s="32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8:8" ht="25.0" customHeight="1">
      <c r="A62" s="32"/>
      <c r="B62" s="33" t="s">
        <v>167</v>
      </c>
      <c r="C62" s="34" t="s">
        <v>168</v>
      </c>
      <c r="D62" s="32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8:8" ht="40.0" customHeight="1">
      <c r="A63" s="28"/>
      <c r="B63" s="29" t="s">
        <v>169</v>
      </c>
      <c r="C63" s="30" t="s">
        <v>170</v>
      </c>
      <c r="D63" s="29">
        <v>6.25</v>
      </c>
      <c r="E63" s="31" t="str">
        <f>IF(COUNTA(E64:E68)=0,"",COUNTIF(E64:E68,"Ya")/5*100)</f>
        <v/>
      </c>
      <c r="F63" s="31" t="str">
        <f>IF(COUNTA(F64:F68)=0,"",COUNTIF(F64:F68,"Ya")/5*100)</f>
        <v/>
      </c>
      <c r="G63" s="31" t="str">
        <f>IF(COUNTA(G64:G68)=0,"",COUNTIF(G64:G68,"Ya")/5*100)</f>
        <v/>
      </c>
      <c r="H63" s="31" t="str">
        <f>IF(COUNTA(H64:H68)=0,"",COUNTIF(H64:H68,"Ya")/5*100)</f>
        <v/>
      </c>
      <c r="I63" s="31" t="str">
        <f>IF(COUNTA(I64:I68)=0,"",COUNTIF(I64:I68,"Ya")/5*100)</f>
        <v/>
      </c>
      <c r="J63" s="31" t="str">
        <f>IF(COUNTA(J64:J68)=0,"",COUNTIF(J64:J68,"Ya")/5*100)</f>
        <v/>
      </c>
      <c r="K63" s="31" t="str">
        <f>IF(COUNTA(K64:K68)=0,"",COUNTIF(K64:K68,"Ya")/5*100)</f>
        <v/>
      </c>
      <c r="L63" s="31" t="str">
        <f>IF(COUNTA(L64:L68)=0,"",COUNTIF(L64:L68,"Ya")/5*100)</f>
        <v/>
      </c>
      <c r="M63" s="31" t="str">
        <f>IF(COUNTA(M64:M68)=0,"",COUNTIF(M64:M68,"Ya")/5*100)</f>
        <v/>
      </c>
      <c r="N63" s="31" t="str">
        <f>IF(COUNTA(N64:N68)=0,"",COUNTIF(N64:N68,"Ya")/5*100)</f>
        <v/>
      </c>
      <c r="O63" s="31" t="str">
        <f>IF(COUNTA(O64:O68)=0,"",COUNTIF(O64:O68,"Ya")/5*100)</f>
        <v/>
      </c>
      <c r="P63" s="31" t="str">
        <f>IF(COUNTA(P64:P68)=0,"",COUNTIF(P64:P68,"Ya")/5*100)</f>
        <v/>
      </c>
      <c r="Q63" s="31" t="str">
        <f>IF(COUNTA(Q64:Q68)=0,"",COUNTIF(Q64:Q68,"Ya")/5*100)</f>
        <v/>
      </c>
      <c r="R63" s="31" t="str">
        <f>IF(COUNTA(R64:R68)=0,"",COUNTIF(R64:R68,"Ya")/5*100)</f>
        <v/>
      </c>
      <c r="S63" s="31" t="str">
        <f>IF(COUNTA(S64:S68)=0,"",COUNTIF(S64:S68,"Ya")/5*100)</f>
        <v/>
      </c>
      <c r="T63" s="31" t="str">
        <f>IF(COUNTA(T64:T68)=0,"",COUNTIF(T64:T68,"Ya")/5*100)</f>
        <v/>
      </c>
      <c r="U63" s="31" t="str">
        <f>IF(COUNTA(U64:U68)=0,"",COUNTIF(U64:U68,"Ya")/5*100)</f>
        <v/>
      </c>
      <c r="V63" s="31" t="str">
        <f>IF(COUNTA(V64:V68)=0,"",COUNTIF(V64:V68,"Ya")/5*100)</f>
        <v/>
      </c>
      <c r="W63" s="31" t="str">
        <f>IF(COUNTA(W64:W68)=0,"",COUNTIF(W64:W68,"Ya")/5*100)</f>
        <v/>
      </c>
      <c r="X63" s="31" t="str">
        <f>IF(COUNTA(X64:X68)=0,"",COUNTIF(X64:X68,"Ya")/5*100)</f>
        <v/>
      </c>
      <c r="Y63" s="31" t="str">
        <f>IF(COUNTA(Y64:Y68)=0,"",COUNTIF(Y64:Y68,"Ya")/5*100)</f>
        <v/>
      </c>
      <c r="Z63" s="31" t="str">
        <f>_xlfn.IFERROR(AVERAGE(E63:Y63),"")</f>
        <v/>
      </c>
    </row>
    <row r="64" spans="8:8" ht="25.0" customHeight="1">
      <c r="A64" s="32"/>
      <c r="B64" s="33" t="s">
        <v>171</v>
      </c>
      <c r="C64" s="34" t="s">
        <v>172</v>
      </c>
      <c r="D64" s="32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8:8" ht="25.0" customHeight="1">
      <c r="A65" s="32"/>
      <c r="B65" s="33" t="s">
        <v>173</v>
      </c>
      <c r="C65" s="34" t="s">
        <v>174</v>
      </c>
      <c r="D65" s="32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8:8" ht="25.0" customHeight="1">
      <c r="A66" s="32"/>
      <c r="B66" s="33" t="s">
        <v>175</v>
      </c>
      <c r="C66" s="34" t="s">
        <v>176</v>
      </c>
      <c r="D66" s="32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8:8" ht="25.0" customHeight="1">
      <c r="A67" s="32"/>
      <c r="B67" s="33" t="s">
        <v>177</v>
      </c>
      <c r="C67" s="34" t="s">
        <v>178</v>
      </c>
      <c r="D67" s="32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8:8" ht="25.0" customHeight="1">
      <c r="A68" s="32"/>
      <c r="B68" s="33" t="s">
        <v>179</v>
      </c>
      <c r="C68" s="34" t="s">
        <v>180</v>
      </c>
      <c r="D68" s="32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8:8" ht="18.0" customHeight="1">
      <c r="A69" s="36"/>
      <c r="B69" s="36"/>
      <c r="C69" s="37" t="s">
        <v>181</v>
      </c>
      <c r="D69" s="38">
        <v>18.75</v>
      </c>
      <c r="E69" s="39" t="str">
        <f>IF((IF(ISNUMBER(E51),6.25,0)+IF(ISNUMBER(E57),6.25,0)+IF(ISNUMBER(E63),6.25,0))=0,"",(IF(ISNUMBER(E51),E51*6.25,0)+IF(ISNUMBER(E57),E57*6.25,0)+IF(ISNUMBER(E63),E63*6.25,0))/(IF(ISNUMBER(E51),6.25,0)+IF(ISNUMBER(E57),6.25,0)+IF(ISNUMBER(E63),6.25,0)))</f>
        <v/>
      </c>
      <c r="F69" s="39" t="str">
        <f>IF((IF(ISNUMBER(F51),6.25,0)+IF(ISNUMBER(F57),6.25,0)+IF(ISNUMBER(F63),6.25,0))=0,"",(IF(ISNUMBER(F51),F51*6.25,0)+IF(ISNUMBER(F57),F57*6.25,0)+IF(ISNUMBER(F63),F63*6.25,0))/(IF(ISNUMBER(F51),6.25,0)+IF(ISNUMBER(F57),6.25,0)+IF(ISNUMBER(F63),6.25,0)))</f>
        <v/>
      </c>
      <c r="G69" s="39" t="str">
        <f>IF((IF(ISNUMBER(G51),6.25,0)+IF(ISNUMBER(G57),6.25,0)+IF(ISNUMBER(G63),6.25,0))=0,"",(IF(ISNUMBER(G51),G51*6.25,0)+IF(ISNUMBER(G57),G57*6.25,0)+IF(ISNUMBER(G63),G63*6.25,0))/(IF(ISNUMBER(G51),6.25,0)+IF(ISNUMBER(G57),6.25,0)+IF(ISNUMBER(G63),6.25,0)))</f>
        <v/>
      </c>
      <c r="H69" s="39" t="str">
        <f>IF((IF(ISNUMBER(H51),6.25,0)+IF(ISNUMBER(H57),6.25,0)+IF(ISNUMBER(H63),6.25,0))=0,"",(IF(ISNUMBER(H51),H51*6.25,0)+IF(ISNUMBER(H57),H57*6.25,0)+IF(ISNUMBER(H63),H63*6.25,0))/(IF(ISNUMBER(H51),6.25,0)+IF(ISNUMBER(H57),6.25,0)+IF(ISNUMBER(H63),6.25,0)))</f>
        <v/>
      </c>
      <c r="I69" s="39" t="str">
        <f>IF((IF(ISNUMBER(I51),6.25,0)+IF(ISNUMBER(I57),6.25,0)+IF(ISNUMBER(I63),6.25,0))=0,"",(IF(ISNUMBER(I51),I51*6.25,0)+IF(ISNUMBER(I57),I57*6.25,0)+IF(ISNUMBER(I63),I63*6.25,0))/(IF(ISNUMBER(I51),6.25,0)+IF(ISNUMBER(I57),6.25,0)+IF(ISNUMBER(I63),6.25,0)))</f>
        <v/>
      </c>
      <c r="J69" s="39" t="str">
        <f>IF((IF(ISNUMBER(J51),6.25,0)+IF(ISNUMBER(J57),6.25,0)+IF(ISNUMBER(J63),6.25,0))=0,"",(IF(ISNUMBER(J51),J51*6.25,0)+IF(ISNUMBER(J57),J57*6.25,0)+IF(ISNUMBER(J63),J63*6.25,0))/(IF(ISNUMBER(J51),6.25,0)+IF(ISNUMBER(J57),6.25,0)+IF(ISNUMBER(J63),6.25,0)))</f>
        <v/>
      </c>
      <c r="K69" s="39" t="str">
        <f>IF((IF(ISNUMBER(K51),6.25,0)+IF(ISNUMBER(K57),6.25,0)+IF(ISNUMBER(K63),6.25,0))=0,"",(IF(ISNUMBER(K51),K51*6.25,0)+IF(ISNUMBER(K57),K57*6.25,0)+IF(ISNUMBER(K63),K63*6.25,0))/(IF(ISNUMBER(K51),6.25,0)+IF(ISNUMBER(K57),6.25,0)+IF(ISNUMBER(K63),6.25,0)))</f>
        <v/>
      </c>
      <c r="L69" s="39" t="str">
        <f>IF((IF(ISNUMBER(L51),6.25,0)+IF(ISNUMBER(L57),6.25,0)+IF(ISNUMBER(L63),6.25,0))=0,"",(IF(ISNUMBER(L51),L51*6.25,0)+IF(ISNUMBER(L57),L57*6.25,0)+IF(ISNUMBER(L63),L63*6.25,0))/(IF(ISNUMBER(L51),6.25,0)+IF(ISNUMBER(L57),6.25,0)+IF(ISNUMBER(L63),6.25,0)))</f>
        <v/>
      </c>
      <c r="M69" s="39" t="str">
        <f>IF((IF(ISNUMBER(M51),6.25,0)+IF(ISNUMBER(M57),6.25,0)+IF(ISNUMBER(M63),6.25,0))=0,"",(IF(ISNUMBER(M51),M51*6.25,0)+IF(ISNUMBER(M57),M57*6.25,0)+IF(ISNUMBER(M63),M63*6.25,0))/(IF(ISNUMBER(M51),6.25,0)+IF(ISNUMBER(M57),6.25,0)+IF(ISNUMBER(M63),6.25,0)))</f>
        <v/>
      </c>
      <c r="N69" s="39" t="str">
        <f>IF((IF(ISNUMBER(N51),6.25,0)+IF(ISNUMBER(N57),6.25,0)+IF(ISNUMBER(N63),6.25,0))=0,"",(IF(ISNUMBER(N51),N51*6.25,0)+IF(ISNUMBER(N57),N57*6.25,0)+IF(ISNUMBER(N63),N63*6.25,0))/(IF(ISNUMBER(N51),6.25,0)+IF(ISNUMBER(N57),6.25,0)+IF(ISNUMBER(N63),6.25,0)))</f>
        <v/>
      </c>
      <c r="O69" s="39" t="str">
        <f>IF((IF(ISNUMBER(O51),6.25,0)+IF(ISNUMBER(O57),6.25,0)+IF(ISNUMBER(O63),6.25,0))=0,"",(IF(ISNUMBER(O51),O51*6.25,0)+IF(ISNUMBER(O57),O57*6.25,0)+IF(ISNUMBER(O63),O63*6.25,0))/(IF(ISNUMBER(O51),6.25,0)+IF(ISNUMBER(O57),6.25,0)+IF(ISNUMBER(O63),6.25,0)))</f>
        <v/>
      </c>
      <c r="P69" s="39" t="str">
        <f>IF((IF(ISNUMBER(P51),6.25,0)+IF(ISNUMBER(P57),6.25,0)+IF(ISNUMBER(P63),6.25,0))=0,"",(IF(ISNUMBER(P51),P51*6.25,0)+IF(ISNUMBER(P57),P57*6.25,0)+IF(ISNUMBER(P63),P63*6.25,0))/(IF(ISNUMBER(P51),6.25,0)+IF(ISNUMBER(P57),6.25,0)+IF(ISNUMBER(P63),6.25,0)))</f>
        <v/>
      </c>
      <c r="Q69" s="39" t="str">
        <f>IF((IF(ISNUMBER(Q51),6.25,0)+IF(ISNUMBER(Q57),6.25,0)+IF(ISNUMBER(Q63),6.25,0))=0,"",(IF(ISNUMBER(Q51),Q51*6.25,0)+IF(ISNUMBER(Q57),Q57*6.25,0)+IF(ISNUMBER(Q63),Q63*6.25,0))/(IF(ISNUMBER(Q51),6.25,0)+IF(ISNUMBER(Q57),6.25,0)+IF(ISNUMBER(Q63),6.25,0)))</f>
        <v/>
      </c>
      <c r="R69" s="39" t="str">
        <f>IF((IF(ISNUMBER(R51),6.25,0)+IF(ISNUMBER(R57),6.25,0)+IF(ISNUMBER(R63),6.25,0))=0,"",(IF(ISNUMBER(R51),R51*6.25,0)+IF(ISNUMBER(R57),R57*6.25,0)+IF(ISNUMBER(R63),R63*6.25,0))/(IF(ISNUMBER(R51),6.25,0)+IF(ISNUMBER(R57),6.25,0)+IF(ISNUMBER(R63),6.25,0)))</f>
        <v/>
      </c>
      <c r="S69" s="39" t="str">
        <f>IF((IF(ISNUMBER(S51),6.25,0)+IF(ISNUMBER(S57),6.25,0)+IF(ISNUMBER(S63),6.25,0))=0,"",(IF(ISNUMBER(S51),S51*6.25,0)+IF(ISNUMBER(S57),S57*6.25,0)+IF(ISNUMBER(S63),S63*6.25,0))/(IF(ISNUMBER(S51),6.25,0)+IF(ISNUMBER(S57),6.25,0)+IF(ISNUMBER(S63),6.25,0)))</f>
        <v/>
      </c>
      <c r="T69" s="39" t="str">
        <f>IF((IF(ISNUMBER(T51),6.25,0)+IF(ISNUMBER(T57),6.25,0)+IF(ISNUMBER(T63),6.25,0))=0,"",(IF(ISNUMBER(T51),T51*6.25,0)+IF(ISNUMBER(T57),T57*6.25,0)+IF(ISNUMBER(T63),T63*6.25,0))/(IF(ISNUMBER(T51),6.25,0)+IF(ISNUMBER(T57),6.25,0)+IF(ISNUMBER(T63),6.25,0)))</f>
        <v/>
      </c>
      <c r="U69" s="39" t="str">
        <f>IF((IF(ISNUMBER(U51),6.25,0)+IF(ISNUMBER(U57),6.25,0)+IF(ISNUMBER(U63),6.25,0))=0,"",(IF(ISNUMBER(U51),U51*6.25,0)+IF(ISNUMBER(U57),U57*6.25,0)+IF(ISNUMBER(U63),U63*6.25,0))/(IF(ISNUMBER(U51),6.25,0)+IF(ISNUMBER(U57),6.25,0)+IF(ISNUMBER(U63),6.25,0)))</f>
        <v/>
      </c>
      <c r="V69" s="39" t="str">
        <f>IF((IF(ISNUMBER(V51),6.25,0)+IF(ISNUMBER(V57),6.25,0)+IF(ISNUMBER(V63),6.25,0))=0,"",(IF(ISNUMBER(V51),V51*6.25,0)+IF(ISNUMBER(V57),V57*6.25,0)+IF(ISNUMBER(V63),V63*6.25,0))/(IF(ISNUMBER(V51),6.25,0)+IF(ISNUMBER(V57),6.25,0)+IF(ISNUMBER(V63),6.25,0)))</f>
        <v/>
      </c>
      <c r="W69" s="39" t="str">
        <f>IF((IF(ISNUMBER(W51),6.25,0)+IF(ISNUMBER(W57),6.25,0)+IF(ISNUMBER(W63),6.25,0))=0,"",(IF(ISNUMBER(W51),W51*6.25,0)+IF(ISNUMBER(W57),W57*6.25,0)+IF(ISNUMBER(W63),W63*6.25,0))/(IF(ISNUMBER(W51),6.25,0)+IF(ISNUMBER(W57),6.25,0)+IF(ISNUMBER(W63),6.25,0)))</f>
        <v/>
      </c>
      <c r="X69" s="39" t="str">
        <f>IF((IF(ISNUMBER(X51),6.25,0)+IF(ISNUMBER(X57),6.25,0)+IF(ISNUMBER(X63),6.25,0))=0,"",(IF(ISNUMBER(X51),X51*6.25,0)+IF(ISNUMBER(X57),X57*6.25,0)+IF(ISNUMBER(X63),X63*6.25,0))/(IF(ISNUMBER(X51),6.25,0)+IF(ISNUMBER(X57),6.25,0)+IF(ISNUMBER(X63),6.25,0)))</f>
        <v/>
      </c>
      <c r="Y69" s="39" t="str">
        <f>IF((IF(ISNUMBER(Y51),6.25,0)+IF(ISNUMBER(Y57),6.25,0)+IF(ISNUMBER(Y63),6.25,0))=0,"",(IF(ISNUMBER(Y51),Y51*6.25,0)+IF(ISNUMBER(Y57),Y57*6.25,0)+IF(ISNUMBER(Y63),Y63*6.25,0))/(IF(ISNUMBER(Y51),6.25,0)+IF(ISNUMBER(Y57),6.25,0)+IF(ISNUMBER(Y63),6.25,0)))</f>
        <v/>
      </c>
      <c r="Z69" s="39" t="str">
        <f>_xlfn.IFERROR(AVERAGE(E69:Y69),"")</f>
        <v/>
      </c>
    </row>
    <row r="70" spans="8:8" ht="20.0" customHeight="1">
      <c r="A70" s="18" t="s">
        <v>182</v>
      </c>
    </row>
    <row r="71" spans="8:8" ht="40.0" customHeight="1">
      <c r="A71" s="28"/>
      <c r="B71" s="29" t="s">
        <v>183</v>
      </c>
      <c r="C71" s="30" t="s">
        <v>184</v>
      </c>
      <c r="D71" s="29">
        <v>6.25</v>
      </c>
      <c r="E71" s="31" t="str">
        <f>IF(COUNTA(E72:E76)=0,"",COUNTIF(E72:E76,"Ya")/5*100)</f>
        <v/>
      </c>
      <c r="F71" s="31" t="str">
        <f>IF(COUNTA(F72:F76)=0,"",COUNTIF(F72:F76,"Ya")/5*100)</f>
        <v/>
      </c>
      <c r="G71" s="31" t="str">
        <f>IF(COUNTA(G72:G76)=0,"",COUNTIF(G72:G76,"Ya")/5*100)</f>
        <v/>
      </c>
      <c r="H71" s="31" t="str">
        <f>IF(COUNTA(H72:H76)=0,"",COUNTIF(H72:H76,"Ya")/5*100)</f>
        <v/>
      </c>
      <c r="I71" s="31" t="str">
        <f>IF(COUNTA(I72:I76)=0,"",COUNTIF(I72:I76,"Ya")/5*100)</f>
        <v/>
      </c>
      <c r="J71" s="31" t="str">
        <f>IF(COUNTA(J72:J76)=0,"",COUNTIF(J72:J76,"Ya")/5*100)</f>
        <v/>
      </c>
      <c r="K71" s="31" t="str">
        <f>IF(COUNTA(K72:K76)=0,"",COUNTIF(K72:K76,"Ya")/5*100)</f>
        <v/>
      </c>
      <c r="L71" s="31" t="str">
        <f>IF(COUNTA(L72:L76)=0,"",COUNTIF(L72:L76,"Ya")/5*100)</f>
        <v/>
      </c>
      <c r="M71" s="31" t="str">
        <f>IF(COUNTA(M72:M76)=0,"",COUNTIF(M72:M76,"Ya")/5*100)</f>
        <v/>
      </c>
      <c r="N71" s="31" t="str">
        <f>IF(COUNTA(N72:N76)=0,"",COUNTIF(N72:N76,"Ya")/5*100)</f>
        <v/>
      </c>
      <c r="O71" s="31" t="str">
        <f>IF(COUNTA(O72:O76)=0,"",COUNTIF(O72:O76,"Ya")/5*100)</f>
        <v/>
      </c>
      <c r="P71" s="31" t="str">
        <f>IF(COUNTA(P72:P76)=0,"",COUNTIF(P72:P76,"Ya")/5*100)</f>
        <v/>
      </c>
      <c r="Q71" s="31" t="str">
        <f>IF(COUNTA(Q72:Q76)=0,"",COUNTIF(Q72:Q76,"Ya")/5*100)</f>
        <v/>
      </c>
      <c r="R71" s="31" t="str">
        <f>IF(COUNTA(R72:R76)=0,"",COUNTIF(R72:R76,"Ya")/5*100)</f>
        <v/>
      </c>
      <c r="S71" s="31" t="str">
        <f>IF(COUNTA(S72:S76)=0,"",COUNTIF(S72:S76,"Ya")/5*100)</f>
        <v/>
      </c>
      <c r="T71" s="31" t="str">
        <f>IF(COUNTA(T72:T76)=0,"",COUNTIF(T72:T76,"Ya")/5*100)</f>
        <v/>
      </c>
      <c r="U71" s="31" t="str">
        <f>IF(COUNTA(U72:U76)=0,"",COUNTIF(U72:U76,"Ya")/5*100)</f>
        <v/>
      </c>
      <c r="V71" s="31" t="str">
        <f>IF(COUNTA(V72:V76)=0,"",COUNTIF(V72:V76,"Ya")/5*100)</f>
        <v/>
      </c>
      <c r="W71" s="31" t="str">
        <f>IF(COUNTA(W72:W76)=0,"",COUNTIF(W72:W76,"Ya")/5*100)</f>
        <v/>
      </c>
      <c r="X71" s="31" t="str">
        <f>IF(COUNTA(X72:X76)=0,"",COUNTIF(X72:X76,"Ya")/5*100)</f>
        <v/>
      </c>
      <c r="Y71" s="31" t="str">
        <f>IF(COUNTA(Y72:Y76)=0,"",COUNTIF(Y72:Y76,"Ya")/5*100)</f>
        <v/>
      </c>
      <c r="Z71" s="31" t="str">
        <f>_xlfn.IFERROR(AVERAGE(E71:Y71),"")</f>
        <v/>
      </c>
    </row>
    <row r="72" spans="8:8" ht="25.0" customHeight="1">
      <c r="A72" s="32"/>
      <c r="B72" s="33" t="s">
        <v>185</v>
      </c>
      <c r="C72" s="34" t="s">
        <v>186</v>
      </c>
      <c r="D72" s="32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8:8" ht="25.0" customHeight="1">
      <c r="A73" s="32"/>
      <c r="B73" s="33" t="s">
        <v>187</v>
      </c>
      <c r="C73" s="34" t="s">
        <v>188</v>
      </c>
      <c r="D73" s="32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8:8" ht="25.0" customHeight="1">
      <c r="A74" s="32"/>
      <c r="B74" s="33" t="s">
        <v>189</v>
      </c>
      <c r="C74" s="34" t="s">
        <v>190</v>
      </c>
      <c r="D74" s="32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8:8" ht="25.0" customHeight="1">
      <c r="A75" s="32"/>
      <c r="B75" s="33" t="s">
        <v>191</v>
      </c>
      <c r="C75" s="34" t="s">
        <v>192</v>
      </c>
      <c r="D75" s="32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spans="8:8" ht="25.0" customHeight="1">
      <c r="A76" s="32"/>
      <c r="B76" s="33" t="s">
        <v>193</v>
      </c>
      <c r="C76" s="34" t="s">
        <v>194</v>
      </c>
      <c r="D76" s="32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8:8" ht="40.0" customHeight="1">
      <c r="A77" s="28"/>
      <c r="B77" s="29" t="s">
        <v>195</v>
      </c>
      <c r="C77" s="30" t="s">
        <v>196</v>
      </c>
      <c r="D77" s="29">
        <v>6.25</v>
      </c>
      <c r="E77" s="31" t="str">
        <f>IF(COUNTA(E78:E82)=0,"",COUNTIF(E78:E82,"Ya")/5*100)</f>
        <v/>
      </c>
      <c r="F77" s="31" t="str">
        <f>IF(COUNTA(F78:F82)=0,"",COUNTIF(F78:F82,"Ya")/5*100)</f>
        <v/>
      </c>
      <c r="G77" s="31" t="str">
        <f>IF(COUNTA(G78:G82)=0,"",COUNTIF(G78:G82,"Ya")/5*100)</f>
        <v/>
      </c>
      <c r="H77" s="31" t="str">
        <f>IF(COUNTA(H78:H82)=0,"",COUNTIF(H78:H82,"Ya")/5*100)</f>
        <v/>
      </c>
      <c r="I77" s="31" t="str">
        <f>IF(COUNTA(I78:I82)=0,"",COUNTIF(I78:I82,"Ya")/5*100)</f>
        <v/>
      </c>
      <c r="J77" s="31" t="str">
        <f>IF(COUNTA(J78:J82)=0,"",COUNTIF(J78:J82,"Ya")/5*100)</f>
        <v/>
      </c>
      <c r="K77" s="31" t="str">
        <f>IF(COUNTA(K78:K82)=0,"",COUNTIF(K78:K82,"Ya")/5*100)</f>
        <v/>
      </c>
      <c r="L77" s="31" t="str">
        <f>IF(COUNTA(L78:L82)=0,"",COUNTIF(L78:L82,"Ya")/5*100)</f>
        <v/>
      </c>
      <c r="M77" s="31" t="str">
        <f>IF(COUNTA(M78:M82)=0,"",COUNTIF(M78:M82,"Ya")/5*100)</f>
        <v/>
      </c>
      <c r="N77" s="31" t="str">
        <f>IF(COUNTA(N78:N82)=0,"",COUNTIF(N78:N82,"Ya")/5*100)</f>
        <v/>
      </c>
      <c r="O77" s="31" t="str">
        <f>IF(COUNTA(O78:O82)=0,"",COUNTIF(O78:O82,"Ya")/5*100)</f>
        <v/>
      </c>
      <c r="P77" s="31" t="str">
        <f>IF(COUNTA(P78:P82)=0,"",COUNTIF(P78:P82,"Ya")/5*100)</f>
        <v/>
      </c>
      <c r="Q77" s="31" t="str">
        <f>IF(COUNTA(Q78:Q82)=0,"",COUNTIF(Q78:Q82,"Ya")/5*100)</f>
        <v/>
      </c>
      <c r="R77" s="31" t="str">
        <f>IF(COUNTA(R78:R82)=0,"",COUNTIF(R78:R82,"Ya")/5*100)</f>
        <v/>
      </c>
      <c r="S77" s="31" t="str">
        <f>IF(COUNTA(S78:S82)=0,"",COUNTIF(S78:S82,"Ya")/5*100)</f>
        <v/>
      </c>
      <c r="T77" s="31" t="str">
        <f>IF(COUNTA(T78:T82)=0,"",COUNTIF(T78:T82,"Ya")/5*100)</f>
        <v/>
      </c>
      <c r="U77" s="31" t="str">
        <f>IF(COUNTA(U78:U82)=0,"",COUNTIF(U78:U82,"Ya")/5*100)</f>
        <v/>
      </c>
      <c r="V77" s="31" t="str">
        <f>IF(COUNTA(V78:V82)=0,"",COUNTIF(V78:V82,"Ya")/5*100)</f>
        <v/>
      </c>
      <c r="W77" s="31" t="str">
        <f>IF(COUNTA(W78:W82)=0,"",COUNTIF(W78:W82,"Ya")/5*100)</f>
        <v/>
      </c>
      <c r="X77" s="31" t="str">
        <f>IF(COUNTA(X78:X82)=0,"",COUNTIF(X78:X82,"Ya")/5*100)</f>
        <v/>
      </c>
      <c r="Y77" s="31" t="str">
        <f>IF(COUNTA(Y78:Y82)=0,"",COUNTIF(Y78:Y82,"Ya")/5*100)</f>
        <v/>
      </c>
      <c r="Z77" s="31" t="str">
        <f>_xlfn.IFERROR(AVERAGE(E77:Y77),"")</f>
        <v/>
      </c>
    </row>
    <row r="78" spans="8:8" ht="25.0" customHeight="1">
      <c r="A78" s="32"/>
      <c r="B78" s="33" t="s">
        <v>197</v>
      </c>
      <c r="C78" s="34" t="s">
        <v>198</v>
      </c>
      <c r="D78" s="32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8:8" ht="25.0" customHeight="1">
      <c r="A79" s="32"/>
      <c r="B79" s="33" t="s">
        <v>199</v>
      </c>
      <c r="C79" s="34" t="s">
        <v>200</v>
      </c>
      <c r="D79" s="32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8:8" ht="25.0" customHeight="1">
      <c r="A80" s="32"/>
      <c r="B80" s="33" t="s">
        <v>201</v>
      </c>
      <c r="C80" s="34" t="s">
        <v>202</v>
      </c>
      <c r="D80" s="32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8:8" ht="25.0" customHeight="1">
      <c r="A81" s="32"/>
      <c r="B81" s="33" t="s">
        <v>203</v>
      </c>
      <c r="C81" s="34" t="s">
        <v>204</v>
      </c>
      <c r="D81" s="32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8:8" ht="25.0" customHeight="1">
      <c r="A82" s="32"/>
      <c r="B82" s="33" t="s">
        <v>205</v>
      </c>
      <c r="C82" s="34" t="s">
        <v>206</v>
      </c>
      <c r="D82" s="32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8:8" ht="18.0" customHeight="1">
      <c r="A83" s="36"/>
      <c r="B83" s="36"/>
      <c r="C83" s="37" t="s">
        <v>207</v>
      </c>
      <c r="D83" s="38">
        <v>12.5</v>
      </c>
      <c r="E83" s="39" t="str">
        <f>IF((IF(ISNUMBER(E71),6.25,0)+IF(ISNUMBER(E77),6.25,0))=0,"",(IF(ISNUMBER(E71),E71*6.25,0)+IF(ISNUMBER(E77),E77*6.25,0))/(IF(ISNUMBER(E71),6.25,0)+IF(ISNUMBER(E77),6.25,0)))</f>
        <v/>
      </c>
      <c r="F83" s="39" t="str">
        <f>IF((IF(ISNUMBER(F71),6.25,0)+IF(ISNUMBER(F77),6.25,0))=0,"",(IF(ISNUMBER(F71),F71*6.25,0)+IF(ISNUMBER(F77),F77*6.25,0))/(IF(ISNUMBER(F71),6.25,0)+IF(ISNUMBER(F77),6.25,0)))</f>
        <v/>
      </c>
      <c r="G83" s="39" t="str">
        <f>IF((IF(ISNUMBER(G71),6.25,0)+IF(ISNUMBER(G77),6.25,0))=0,"",(IF(ISNUMBER(G71),G71*6.25,0)+IF(ISNUMBER(G77),G77*6.25,0))/(IF(ISNUMBER(G71),6.25,0)+IF(ISNUMBER(G77),6.25,0)))</f>
        <v/>
      </c>
      <c r="H83" s="39" t="str">
        <f>IF((IF(ISNUMBER(H71),6.25,0)+IF(ISNUMBER(H77),6.25,0))=0,"",(IF(ISNUMBER(H71),H71*6.25,0)+IF(ISNUMBER(H77),H77*6.25,0))/(IF(ISNUMBER(H71),6.25,0)+IF(ISNUMBER(H77),6.25,0)))</f>
        <v/>
      </c>
      <c r="I83" s="39" t="str">
        <f>IF((IF(ISNUMBER(I71),6.25,0)+IF(ISNUMBER(I77),6.25,0))=0,"",(IF(ISNUMBER(I71),I71*6.25,0)+IF(ISNUMBER(I77),I77*6.25,0))/(IF(ISNUMBER(I71),6.25,0)+IF(ISNUMBER(I77),6.25,0)))</f>
        <v/>
      </c>
      <c r="J83" s="39" t="str">
        <f>IF((IF(ISNUMBER(J71),6.25,0)+IF(ISNUMBER(J77),6.25,0))=0,"",(IF(ISNUMBER(J71),J71*6.25,0)+IF(ISNUMBER(J77),J77*6.25,0))/(IF(ISNUMBER(J71),6.25,0)+IF(ISNUMBER(J77),6.25,0)))</f>
        <v/>
      </c>
      <c r="K83" s="39" t="str">
        <f>IF((IF(ISNUMBER(K71),6.25,0)+IF(ISNUMBER(K77),6.25,0))=0,"",(IF(ISNUMBER(K71),K71*6.25,0)+IF(ISNUMBER(K77),K77*6.25,0))/(IF(ISNUMBER(K71),6.25,0)+IF(ISNUMBER(K77),6.25,0)))</f>
        <v/>
      </c>
      <c r="L83" s="39" t="str">
        <f>IF((IF(ISNUMBER(L71),6.25,0)+IF(ISNUMBER(L77),6.25,0))=0,"",(IF(ISNUMBER(L71),L71*6.25,0)+IF(ISNUMBER(L77),L77*6.25,0))/(IF(ISNUMBER(L71),6.25,0)+IF(ISNUMBER(L77),6.25,0)))</f>
        <v/>
      </c>
      <c r="M83" s="39" t="str">
        <f>IF((IF(ISNUMBER(M71),6.25,0)+IF(ISNUMBER(M77),6.25,0))=0,"",(IF(ISNUMBER(M71),M71*6.25,0)+IF(ISNUMBER(M77),M77*6.25,0))/(IF(ISNUMBER(M71),6.25,0)+IF(ISNUMBER(M77),6.25,0)))</f>
        <v/>
      </c>
      <c r="N83" s="39" t="str">
        <f>IF((IF(ISNUMBER(N71),6.25,0)+IF(ISNUMBER(N77),6.25,0))=0,"",(IF(ISNUMBER(N71),N71*6.25,0)+IF(ISNUMBER(N77),N77*6.25,0))/(IF(ISNUMBER(N71),6.25,0)+IF(ISNUMBER(N77),6.25,0)))</f>
        <v/>
      </c>
      <c r="O83" s="39" t="str">
        <f>IF((IF(ISNUMBER(O71),6.25,0)+IF(ISNUMBER(O77),6.25,0))=0,"",(IF(ISNUMBER(O71),O71*6.25,0)+IF(ISNUMBER(O77),O77*6.25,0))/(IF(ISNUMBER(O71),6.25,0)+IF(ISNUMBER(O77),6.25,0)))</f>
        <v/>
      </c>
      <c r="P83" s="39" t="str">
        <f>IF((IF(ISNUMBER(P71),6.25,0)+IF(ISNUMBER(P77),6.25,0))=0,"",(IF(ISNUMBER(P71),P71*6.25,0)+IF(ISNUMBER(P77),P77*6.25,0))/(IF(ISNUMBER(P71),6.25,0)+IF(ISNUMBER(P77),6.25,0)))</f>
        <v/>
      </c>
      <c r="Q83" s="39" t="str">
        <f>IF((IF(ISNUMBER(Q71),6.25,0)+IF(ISNUMBER(Q77),6.25,0))=0,"",(IF(ISNUMBER(Q71),Q71*6.25,0)+IF(ISNUMBER(Q77),Q77*6.25,0))/(IF(ISNUMBER(Q71),6.25,0)+IF(ISNUMBER(Q77),6.25,0)))</f>
        <v/>
      </c>
      <c r="R83" s="39" t="str">
        <f>IF((IF(ISNUMBER(R71),6.25,0)+IF(ISNUMBER(R77),6.25,0))=0,"",(IF(ISNUMBER(R71),R71*6.25,0)+IF(ISNUMBER(R77),R77*6.25,0))/(IF(ISNUMBER(R71),6.25,0)+IF(ISNUMBER(R77),6.25,0)))</f>
        <v/>
      </c>
      <c r="S83" s="39" t="str">
        <f>IF((IF(ISNUMBER(S71),6.25,0)+IF(ISNUMBER(S77),6.25,0))=0,"",(IF(ISNUMBER(S71),S71*6.25,0)+IF(ISNUMBER(S77),S77*6.25,0))/(IF(ISNUMBER(S71),6.25,0)+IF(ISNUMBER(S77),6.25,0)))</f>
        <v/>
      </c>
      <c r="T83" s="39" t="str">
        <f>IF((IF(ISNUMBER(T71),6.25,0)+IF(ISNUMBER(T77),6.25,0))=0,"",(IF(ISNUMBER(T71),T71*6.25,0)+IF(ISNUMBER(T77),T77*6.25,0))/(IF(ISNUMBER(T71),6.25,0)+IF(ISNUMBER(T77),6.25,0)))</f>
        <v/>
      </c>
      <c r="U83" s="39" t="str">
        <f>IF((IF(ISNUMBER(U71),6.25,0)+IF(ISNUMBER(U77),6.25,0))=0,"",(IF(ISNUMBER(U71),U71*6.25,0)+IF(ISNUMBER(U77),U77*6.25,0))/(IF(ISNUMBER(U71),6.25,0)+IF(ISNUMBER(U77),6.25,0)))</f>
        <v/>
      </c>
      <c r="V83" s="39" t="str">
        <f>IF((IF(ISNUMBER(V71),6.25,0)+IF(ISNUMBER(V77),6.25,0))=0,"",(IF(ISNUMBER(V71),V71*6.25,0)+IF(ISNUMBER(V77),V77*6.25,0))/(IF(ISNUMBER(V71),6.25,0)+IF(ISNUMBER(V77),6.25,0)))</f>
        <v/>
      </c>
      <c r="W83" s="39" t="str">
        <f>IF((IF(ISNUMBER(W71),6.25,0)+IF(ISNUMBER(W77),6.25,0))=0,"",(IF(ISNUMBER(W71),W71*6.25,0)+IF(ISNUMBER(W77),W77*6.25,0))/(IF(ISNUMBER(W71),6.25,0)+IF(ISNUMBER(W77),6.25,0)))</f>
        <v/>
      </c>
      <c r="X83" s="39" t="str">
        <f>IF((IF(ISNUMBER(X71),6.25,0)+IF(ISNUMBER(X77),6.25,0))=0,"",(IF(ISNUMBER(X71),X71*6.25,0)+IF(ISNUMBER(X77),X77*6.25,0))/(IF(ISNUMBER(X71),6.25,0)+IF(ISNUMBER(X77),6.25,0)))</f>
        <v/>
      </c>
      <c r="Y83" s="39" t="str">
        <f>IF((IF(ISNUMBER(Y71),6.25,0)+IF(ISNUMBER(Y77),6.25,0))=0,"",(IF(ISNUMBER(Y71),Y71*6.25,0)+IF(ISNUMBER(Y77),Y77*6.25,0))/(IF(ISNUMBER(Y71),6.25,0)+IF(ISNUMBER(Y77),6.25,0)))</f>
        <v/>
      </c>
      <c r="Z83" s="39" t="str">
        <f>_xlfn.IFERROR(AVERAGE(E83:Y83),"")</f>
        <v/>
      </c>
    </row>
    <row r="84" spans="8:8" ht="22.0" customHeight="1">
      <c r="A84" s="40" t="s">
        <v>208</v>
      </c>
      <c r="E84" s="41" t="str">
        <f>IF((IF(ISNUMBER(E5),6.25,0)+IF(ISNUMBER(E11),6.25,0)+IF(ISNUMBER(E17),6.25,0)+IF(ISNUMBER(E23),6.25,0)+IF(ISNUMBER(E31),6.25,0)+IF(ISNUMBER(E37),6.25,0)+IF(ISNUMBER(E43),6.25,0)+IF(ISNUMBER(E51),6.25,0)+IF(ISNUMBER(E57),6.25,0)+IF(ISNUMBER(E63),6.25,0)+IF(ISNUMBER(E71),6.25,0)+IF(ISNUMBER(E77),6.25,0))=0,"",(IF(ISNUMBER(E5),E5*6.25,0)+IF(ISNUMBER(E11),E11*6.25,0)+IF(ISNUMBER(E17),E17*6.25,0)+IF(ISNUMBER(E23),E23*6.25,0)+IF(ISNUMBER(E31),E31*6.25,0)+IF(ISNUMBER(E37),E37*6.25,0)+IF(ISNUMBER(E43),E43*6.25,0)+IF(ISNUMBER(E51),E51*6.25,0)+IF(ISNUMBER(E57),E57*6.25,0)+IF(ISNUMBER(E63),E63*6.25,0)+IF(ISNUMBER(E71),E71*6.25,0)+IF(ISNUMBER(E77),E77*6.25,0))/(IF(ISNUMBER(E5),6.25,0)+IF(ISNUMBER(E11),6.25,0)+IF(ISNUMBER(E17),6.25,0)+IF(ISNUMBER(E23),6.25,0)+IF(ISNUMBER(E31),6.25,0)+IF(ISNUMBER(E37),6.25,0)+IF(ISNUMBER(E43),6.25,0)+IF(ISNUMBER(E51),6.25,0)+IF(ISNUMBER(E57),6.25,0)+IF(ISNUMBER(E63),6.25,0)+IF(ISNUMBER(E71),6.25,0)+IF(ISNUMBER(E77),6.25,0)))</f>
        <v/>
      </c>
      <c r="F84" s="41" t="str">
        <f>IF((IF(ISNUMBER(F5),6.25,0)+IF(ISNUMBER(F11),6.25,0)+IF(ISNUMBER(F17),6.25,0)+IF(ISNUMBER(F23),6.25,0)+IF(ISNUMBER(F31),6.25,0)+IF(ISNUMBER(F37),6.25,0)+IF(ISNUMBER(F43),6.25,0)+IF(ISNUMBER(F51),6.25,0)+IF(ISNUMBER(F57),6.25,0)+IF(ISNUMBER(F63),6.25,0)+IF(ISNUMBER(F71),6.25,0)+IF(ISNUMBER(F77),6.25,0))=0,"",(IF(ISNUMBER(F5),F5*6.25,0)+IF(ISNUMBER(F11),F11*6.25,0)+IF(ISNUMBER(F17),F17*6.25,0)+IF(ISNUMBER(F23),F23*6.25,0)+IF(ISNUMBER(F31),F31*6.25,0)+IF(ISNUMBER(F37),F37*6.25,0)+IF(ISNUMBER(F43),F43*6.25,0)+IF(ISNUMBER(F51),F51*6.25,0)+IF(ISNUMBER(F57),F57*6.25,0)+IF(ISNUMBER(F63),F63*6.25,0)+IF(ISNUMBER(F71),F71*6.25,0)+IF(ISNUMBER(F77),F77*6.25,0))/(IF(ISNUMBER(F5),6.25,0)+IF(ISNUMBER(F11),6.25,0)+IF(ISNUMBER(F17),6.25,0)+IF(ISNUMBER(F23),6.25,0)+IF(ISNUMBER(F31),6.25,0)+IF(ISNUMBER(F37),6.25,0)+IF(ISNUMBER(F43),6.25,0)+IF(ISNUMBER(F51),6.25,0)+IF(ISNUMBER(F57),6.25,0)+IF(ISNUMBER(F63),6.25,0)+IF(ISNUMBER(F71),6.25,0)+IF(ISNUMBER(F77),6.25,0)))</f>
        <v/>
      </c>
      <c r="G84" s="41" t="str">
        <f>IF((IF(ISNUMBER(G5),6.25,0)+IF(ISNUMBER(G11),6.25,0)+IF(ISNUMBER(G17),6.25,0)+IF(ISNUMBER(G23),6.25,0)+IF(ISNUMBER(G31),6.25,0)+IF(ISNUMBER(G37),6.25,0)+IF(ISNUMBER(G43),6.25,0)+IF(ISNUMBER(G51),6.25,0)+IF(ISNUMBER(G57),6.25,0)+IF(ISNUMBER(G63),6.25,0)+IF(ISNUMBER(G71),6.25,0)+IF(ISNUMBER(G77),6.25,0))=0,"",(IF(ISNUMBER(G5),G5*6.25,0)+IF(ISNUMBER(G11),G11*6.25,0)+IF(ISNUMBER(G17),G17*6.25,0)+IF(ISNUMBER(G23),G23*6.25,0)+IF(ISNUMBER(G31),G31*6.25,0)+IF(ISNUMBER(G37),G37*6.25,0)+IF(ISNUMBER(G43),G43*6.25,0)+IF(ISNUMBER(G51),G51*6.25,0)+IF(ISNUMBER(G57),G57*6.25,0)+IF(ISNUMBER(G63),G63*6.25,0)+IF(ISNUMBER(G71),G71*6.25,0)+IF(ISNUMBER(G77),G77*6.25,0))/(IF(ISNUMBER(G5),6.25,0)+IF(ISNUMBER(G11),6.25,0)+IF(ISNUMBER(G17),6.25,0)+IF(ISNUMBER(G23),6.25,0)+IF(ISNUMBER(G31),6.25,0)+IF(ISNUMBER(G37),6.25,0)+IF(ISNUMBER(G43),6.25,0)+IF(ISNUMBER(G51),6.25,0)+IF(ISNUMBER(G57),6.25,0)+IF(ISNUMBER(G63),6.25,0)+IF(ISNUMBER(G71),6.25,0)+IF(ISNUMBER(G77),6.25,0)))</f>
        <v/>
      </c>
      <c r="H84" s="41" t="str">
        <f>IF((IF(ISNUMBER(H5),6.25,0)+IF(ISNUMBER(H11),6.25,0)+IF(ISNUMBER(H17),6.25,0)+IF(ISNUMBER(H23),6.25,0)+IF(ISNUMBER(H31),6.25,0)+IF(ISNUMBER(H37),6.25,0)+IF(ISNUMBER(H43),6.25,0)+IF(ISNUMBER(H51),6.25,0)+IF(ISNUMBER(H57),6.25,0)+IF(ISNUMBER(H63),6.25,0)+IF(ISNUMBER(H71),6.25,0)+IF(ISNUMBER(H77),6.25,0))=0,"",(IF(ISNUMBER(H5),H5*6.25,0)+IF(ISNUMBER(H11),H11*6.25,0)+IF(ISNUMBER(H17),H17*6.25,0)+IF(ISNUMBER(H23),H23*6.25,0)+IF(ISNUMBER(H31),H31*6.25,0)+IF(ISNUMBER(H37),H37*6.25,0)+IF(ISNUMBER(H43),H43*6.25,0)+IF(ISNUMBER(H51),H51*6.25,0)+IF(ISNUMBER(H57),H57*6.25,0)+IF(ISNUMBER(H63),H63*6.25,0)+IF(ISNUMBER(H71),H71*6.25,0)+IF(ISNUMBER(H77),H77*6.25,0))/(IF(ISNUMBER(H5),6.25,0)+IF(ISNUMBER(H11),6.25,0)+IF(ISNUMBER(H17),6.25,0)+IF(ISNUMBER(H23),6.25,0)+IF(ISNUMBER(H31),6.25,0)+IF(ISNUMBER(H37),6.25,0)+IF(ISNUMBER(H43),6.25,0)+IF(ISNUMBER(H51),6.25,0)+IF(ISNUMBER(H57),6.25,0)+IF(ISNUMBER(H63),6.25,0)+IF(ISNUMBER(H71),6.25,0)+IF(ISNUMBER(H77),6.25,0)))</f>
        <v/>
      </c>
      <c r="I84" s="41" t="str">
        <f>IF((IF(ISNUMBER(I5),6.25,0)+IF(ISNUMBER(I11),6.25,0)+IF(ISNUMBER(I17),6.25,0)+IF(ISNUMBER(I23),6.25,0)+IF(ISNUMBER(I31),6.25,0)+IF(ISNUMBER(I37),6.25,0)+IF(ISNUMBER(I43),6.25,0)+IF(ISNUMBER(I51),6.25,0)+IF(ISNUMBER(I57),6.25,0)+IF(ISNUMBER(I63),6.25,0)+IF(ISNUMBER(I71),6.25,0)+IF(ISNUMBER(I77),6.25,0))=0,"",(IF(ISNUMBER(I5),I5*6.25,0)+IF(ISNUMBER(I11),I11*6.25,0)+IF(ISNUMBER(I17),I17*6.25,0)+IF(ISNUMBER(I23),I23*6.25,0)+IF(ISNUMBER(I31),I31*6.25,0)+IF(ISNUMBER(I37),I37*6.25,0)+IF(ISNUMBER(I43),I43*6.25,0)+IF(ISNUMBER(I51),I51*6.25,0)+IF(ISNUMBER(I57),I57*6.25,0)+IF(ISNUMBER(I63),I63*6.25,0)+IF(ISNUMBER(I71),I71*6.25,0)+IF(ISNUMBER(I77),I77*6.25,0))/(IF(ISNUMBER(I5),6.25,0)+IF(ISNUMBER(I11),6.25,0)+IF(ISNUMBER(I17),6.25,0)+IF(ISNUMBER(I23),6.25,0)+IF(ISNUMBER(I31),6.25,0)+IF(ISNUMBER(I37),6.25,0)+IF(ISNUMBER(I43),6.25,0)+IF(ISNUMBER(I51),6.25,0)+IF(ISNUMBER(I57),6.25,0)+IF(ISNUMBER(I63),6.25,0)+IF(ISNUMBER(I71),6.25,0)+IF(ISNUMBER(I77),6.25,0)))</f>
        <v/>
      </c>
      <c r="J84" s="41" t="str">
        <f>IF((IF(ISNUMBER(J5),6.25,0)+IF(ISNUMBER(J11),6.25,0)+IF(ISNUMBER(J17),6.25,0)+IF(ISNUMBER(J23),6.25,0)+IF(ISNUMBER(J31),6.25,0)+IF(ISNUMBER(J37),6.25,0)+IF(ISNUMBER(J43),6.25,0)+IF(ISNUMBER(J51),6.25,0)+IF(ISNUMBER(J57),6.25,0)+IF(ISNUMBER(J63),6.25,0)+IF(ISNUMBER(J71),6.25,0)+IF(ISNUMBER(J77),6.25,0))=0,"",(IF(ISNUMBER(J5),J5*6.25,0)+IF(ISNUMBER(J11),J11*6.25,0)+IF(ISNUMBER(J17),J17*6.25,0)+IF(ISNUMBER(J23),J23*6.25,0)+IF(ISNUMBER(J31),J31*6.25,0)+IF(ISNUMBER(J37),J37*6.25,0)+IF(ISNUMBER(J43),J43*6.25,0)+IF(ISNUMBER(J51),J51*6.25,0)+IF(ISNUMBER(J57),J57*6.25,0)+IF(ISNUMBER(J63),J63*6.25,0)+IF(ISNUMBER(J71),J71*6.25,0)+IF(ISNUMBER(J77),J77*6.25,0))/(IF(ISNUMBER(J5),6.25,0)+IF(ISNUMBER(J11),6.25,0)+IF(ISNUMBER(J17),6.25,0)+IF(ISNUMBER(J23),6.25,0)+IF(ISNUMBER(J31),6.25,0)+IF(ISNUMBER(J37),6.25,0)+IF(ISNUMBER(J43),6.25,0)+IF(ISNUMBER(J51),6.25,0)+IF(ISNUMBER(J57),6.25,0)+IF(ISNUMBER(J63),6.25,0)+IF(ISNUMBER(J71),6.25,0)+IF(ISNUMBER(J77),6.25,0)))</f>
        <v/>
      </c>
      <c r="K84" s="41" t="str">
        <f>IF((IF(ISNUMBER(K5),6.25,0)+IF(ISNUMBER(K11),6.25,0)+IF(ISNUMBER(K17),6.25,0)+IF(ISNUMBER(K23),6.25,0)+IF(ISNUMBER(K31),6.25,0)+IF(ISNUMBER(K37),6.25,0)+IF(ISNUMBER(K43),6.25,0)+IF(ISNUMBER(K51),6.25,0)+IF(ISNUMBER(K57),6.25,0)+IF(ISNUMBER(K63),6.25,0)+IF(ISNUMBER(K71),6.25,0)+IF(ISNUMBER(K77),6.25,0))=0,"",(IF(ISNUMBER(K5),K5*6.25,0)+IF(ISNUMBER(K11),K11*6.25,0)+IF(ISNUMBER(K17),K17*6.25,0)+IF(ISNUMBER(K23),K23*6.25,0)+IF(ISNUMBER(K31),K31*6.25,0)+IF(ISNUMBER(K37),K37*6.25,0)+IF(ISNUMBER(K43),K43*6.25,0)+IF(ISNUMBER(K51),K51*6.25,0)+IF(ISNUMBER(K57),K57*6.25,0)+IF(ISNUMBER(K63),K63*6.25,0)+IF(ISNUMBER(K71),K71*6.25,0)+IF(ISNUMBER(K77),K77*6.25,0))/(IF(ISNUMBER(K5),6.25,0)+IF(ISNUMBER(K11),6.25,0)+IF(ISNUMBER(K17),6.25,0)+IF(ISNUMBER(K23),6.25,0)+IF(ISNUMBER(K31),6.25,0)+IF(ISNUMBER(K37),6.25,0)+IF(ISNUMBER(K43),6.25,0)+IF(ISNUMBER(K51),6.25,0)+IF(ISNUMBER(K57),6.25,0)+IF(ISNUMBER(K63),6.25,0)+IF(ISNUMBER(K71),6.25,0)+IF(ISNUMBER(K77),6.25,0)))</f>
        <v/>
      </c>
      <c r="L84" s="41" t="str">
        <f>IF((IF(ISNUMBER(L5),6.25,0)+IF(ISNUMBER(L11),6.25,0)+IF(ISNUMBER(L17),6.25,0)+IF(ISNUMBER(L23),6.25,0)+IF(ISNUMBER(L31),6.25,0)+IF(ISNUMBER(L37),6.25,0)+IF(ISNUMBER(L43),6.25,0)+IF(ISNUMBER(L51),6.25,0)+IF(ISNUMBER(L57),6.25,0)+IF(ISNUMBER(L63),6.25,0)+IF(ISNUMBER(L71),6.25,0)+IF(ISNUMBER(L77),6.25,0))=0,"",(IF(ISNUMBER(L5),L5*6.25,0)+IF(ISNUMBER(L11),L11*6.25,0)+IF(ISNUMBER(L17),L17*6.25,0)+IF(ISNUMBER(L23),L23*6.25,0)+IF(ISNUMBER(L31),L31*6.25,0)+IF(ISNUMBER(L37),L37*6.25,0)+IF(ISNUMBER(L43),L43*6.25,0)+IF(ISNUMBER(L51),L51*6.25,0)+IF(ISNUMBER(L57),L57*6.25,0)+IF(ISNUMBER(L63),L63*6.25,0)+IF(ISNUMBER(L71),L71*6.25,0)+IF(ISNUMBER(L77),L77*6.25,0))/(IF(ISNUMBER(L5),6.25,0)+IF(ISNUMBER(L11),6.25,0)+IF(ISNUMBER(L17),6.25,0)+IF(ISNUMBER(L23),6.25,0)+IF(ISNUMBER(L31),6.25,0)+IF(ISNUMBER(L37),6.25,0)+IF(ISNUMBER(L43),6.25,0)+IF(ISNUMBER(L51),6.25,0)+IF(ISNUMBER(L57),6.25,0)+IF(ISNUMBER(L63),6.25,0)+IF(ISNUMBER(L71),6.25,0)+IF(ISNUMBER(L77),6.25,0)))</f>
        <v/>
      </c>
      <c r="M84" s="41" t="str">
        <f>IF((IF(ISNUMBER(M5),6.25,0)+IF(ISNUMBER(M11),6.25,0)+IF(ISNUMBER(M17),6.25,0)+IF(ISNUMBER(M23),6.25,0)+IF(ISNUMBER(M31),6.25,0)+IF(ISNUMBER(M37),6.25,0)+IF(ISNUMBER(M43),6.25,0)+IF(ISNUMBER(M51),6.25,0)+IF(ISNUMBER(M57),6.25,0)+IF(ISNUMBER(M63),6.25,0)+IF(ISNUMBER(M71),6.25,0)+IF(ISNUMBER(M77),6.25,0))=0,"",(IF(ISNUMBER(M5),M5*6.25,0)+IF(ISNUMBER(M11),M11*6.25,0)+IF(ISNUMBER(M17),M17*6.25,0)+IF(ISNUMBER(M23),M23*6.25,0)+IF(ISNUMBER(M31),M31*6.25,0)+IF(ISNUMBER(M37),M37*6.25,0)+IF(ISNUMBER(M43),M43*6.25,0)+IF(ISNUMBER(M51),M51*6.25,0)+IF(ISNUMBER(M57),M57*6.25,0)+IF(ISNUMBER(M63),M63*6.25,0)+IF(ISNUMBER(M71),M71*6.25,0)+IF(ISNUMBER(M77),M77*6.25,0))/(IF(ISNUMBER(M5),6.25,0)+IF(ISNUMBER(M11),6.25,0)+IF(ISNUMBER(M17),6.25,0)+IF(ISNUMBER(M23),6.25,0)+IF(ISNUMBER(M31),6.25,0)+IF(ISNUMBER(M37),6.25,0)+IF(ISNUMBER(M43),6.25,0)+IF(ISNUMBER(M51),6.25,0)+IF(ISNUMBER(M57),6.25,0)+IF(ISNUMBER(M63),6.25,0)+IF(ISNUMBER(M71),6.25,0)+IF(ISNUMBER(M77),6.25,0)))</f>
        <v/>
      </c>
      <c r="N84" s="41" t="str">
        <f>IF((IF(ISNUMBER(N5),6.25,0)+IF(ISNUMBER(N11),6.25,0)+IF(ISNUMBER(N17),6.25,0)+IF(ISNUMBER(N23),6.25,0)+IF(ISNUMBER(N31),6.25,0)+IF(ISNUMBER(N37),6.25,0)+IF(ISNUMBER(N43),6.25,0)+IF(ISNUMBER(N51),6.25,0)+IF(ISNUMBER(N57),6.25,0)+IF(ISNUMBER(N63),6.25,0)+IF(ISNUMBER(N71),6.25,0)+IF(ISNUMBER(N77),6.25,0))=0,"",(IF(ISNUMBER(N5),N5*6.25,0)+IF(ISNUMBER(N11),N11*6.25,0)+IF(ISNUMBER(N17),N17*6.25,0)+IF(ISNUMBER(N23),N23*6.25,0)+IF(ISNUMBER(N31),N31*6.25,0)+IF(ISNUMBER(N37),N37*6.25,0)+IF(ISNUMBER(N43),N43*6.25,0)+IF(ISNUMBER(N51),N51*6.25,0)+IF(ISNUMBER(N57),N57*6.25,0)+IF(ISNUMBER(N63),N63*6.25,0)+IF(ISNUMBER(N71),N71*6.25,0)+IF(ISNUMBER(N77),N77*6.25,0))/(IF(ISNUMBER(N5),6.25,0)+IF(ISNUMBER(N11),6.25,0)+IF(ISNUMBER(N17),6.25,0)+IF(ISNUMBER(N23),6.25,0)+IF(ISNUMBER(N31),6.25,0)+IF(ISNUMBER(N37),6.25,0)+IF(ISNUMBER(N43),6.25,0)+IF(ISNUMBER(N51),6.25,0)+IF(ISNUMBER(N57),6.25,0)+IF(ISNUMBER(N63),6.25,0)+IF(ISNUMBER(N71),6.25,0)+IF(ISNUMBER(N77),6.25,0)))</f>
        <v/>
      </c>
      <c r="O84" s="41" t="str">
        <f>IF((IF(ISNUMBER(O5),6.25,0)+IF(ISNUMBER(O11),6.25,0)+IF(ISNUMBER(O17),6.25,0)+IF(ISNUMBER(O23),6.25,0)+IF(ISNUMBER(O31),6.25,0)+IF(ISNUMBER(O37),6.25,0)+IF(ISNUMBER(O43),6.25,0)+IF(ISNUMBER(O51),6.25,0)+IF(ISNUMBER(O57),6.25,0)+IF(ISNUMBER(O63),6.25,0)+IF(ISNUMBER(O71),6.25,0)+IF(ISNUMBER(O77),6.25,0))=0,"",(IF(ISNUMBER(O5),O5*6.25,0)+IF(ISNUMBER(O11),O11*6.25,0)+IF(ISNUMBER(O17),O17*6.25,0)+IF(ISNUMBER(O23),O23*6.25,0)+IF(ISNUMBER(O31),O31*6.25,0)+IF(ISNUMBER(O37),O37*6.25,0)+IF(ISNUMBER(O43),O43*6.25,0)+IF(ISNUMBER(O51),O51*6.25,0)+IF(ISNUMBER(O57),O57*6.25,0)+IF(ISNUMBER(O63),O63*6.25,0)+IF(ISNUMBER(O71),O71*6.25,0)+IF(ISNUMBER(O77),O77*6.25,0))/(IF(ISNUMBER(O5),6.25,0)+IF(ISNUMBER(O11),6.25,0)+IF(ISNUMBER(O17),6.25,0)+IF(ISNUMBER(O23),6.25,0)+IF(ISNUMBER(O31),6.25,0)+IF(ISNUMBER(O37),6.25,0)+IF(ISNUMBER(O43),6.25,0)+IF(ISNUMBER(O51),6.25,0)+IF(ISNUMBER(O57),6.25,0)+IF(ISNUMBER(O63),6.25,0)+IF(ISNUMBER(O71),6.25,0)+IF(ISNUMBER(O77),6.25,0)))</f>
        <v/>
      </c>
      <c r="P84" s="41" t="str">
        <f>IF((IF(ISNUMBER(P5),6.25,0)+IF(ISNUMBER(P11),6.25,0)+IF(ISNUMBER(P17),6.25,0)+IF(ISNUMBER(P23),6.25,0)+IF(ISNUMBER(P31),6.25,0)+IF(ISNUMBER(P37),6.25,0)+IF(ISNUMBER(P43),6.25,0)+IF(ISNUMBER(P51),6.25,0)+IF(ISNUMBER(P57),6.25,0)+IF(ISNUMBER(P63),6.25,0)+IF(ISNUMBER(P71),6.25,0)+IF(ISNUMBER(P77),6.25,0))=0,"",(IF(ISNUMBER(P5),P5*6.25,0)+IF(ISNUMBER(P11),P11*6.25,0)+IF(ISNUMBER(P17),P17*6.25,0)+IF(ISNUMBER(P23),P23*6.25,0)+IF(ISNUMBER(P31),P31*6.25,0)+IF(ISNUMBER(P37),P37*6.25,0)+IF(ISNUMBER(P43),P43*6.25,0)+IF(ISNUMBER(P51),P51*6.25,0)+IF(ISNUMBER(P57),P57*6.25,0)+IF(ISNUMBER(P63),P63*6.25,0)+IF(ISNUMBER(P71),P71*6.25,0)+IF(ISNUMBER(P77),P77*6.25,0))/(IF(ISNUMBER(P5),6.25,0)+IF(ISNUMBER(P11),6.25,0)+IF(ISNUMBER(P17),6.25,0)+IF(ISNUMBER(P23),6.25,0)+IF(ISNUMBER(P31),6.25,0)+IF(ISNUMBER(P37),6.25,0)+IF(ISNUMBER(P43),6.25,0)+IF(ISNUMBER(P51),6.25,0)+IF(ISNUMBER(P57),6.25,0)+IF(ISNUMBER(P63),6.25,0)+IF(ISNUMBER(P71),6.25,0)+IF(ISNUMBER(P77),6.25,0)))</f>
        <v/>
      </c>
      <c r="Q84" s="41" t="str">
        <f>IF((IF(ISNUMBER(Q5),6.25,0)+IF(ISNUMBER(Q11),6.25,0)+IF(ISNUMBER(Q17),6.25,0)+IF(ISNUMBER(Q23),6.25,0)+IF(ISNUMBER(Q31),6.25,0)+IF(ISNUMBER(Q37),6.25,0)+IF(ISNUMBER(Q43),6.25,0)+IF(ISNUMBER(Q51),6.25,0)+IF(ISNUMBER(Q57),6.25,0)+IF(ISNUMBER(Q63),6.25,0)+IF(ISNUMBER(Q71),6.25,0)+IF(ISNUMBER(Q77),6.25,0))=0,"",(IF(ISNUMBER(Q5),Q5*6.25,0)+IF(ISNUMBER(Q11),Q11*6.25,0)+IF(ISNUMBER(Q17),Q17*6.25,0)+IF(ISNUMBER(Q23),Q23*6.25,0)+IF(ISNUMBER(Q31),Q31*6.25,0)+IF(ISNUMBER(Q37),Q37*6.25,0)+IF(ISNUMBER(Q43),Q43*6.25,0)+IF(ISNUMBER(Q51),Q51*6.25,0)+IF(ISNUMBER(Q57),Q57*6.25,0)+IF(ISNUMBER(Q63),Q63*6.25,0)+IF(ISNUMBER(Q71),Q71*6.25,0)+IF(ISNUMBER(Q77),Q77*6.25,0))/(IF(ISNUMBER(Q5),6.25,0)+IF(ISNUMBER(Q11),6.25,0)+IF(ISNUMBER(Q17),6.25,0)+IF(ISNUMBER(Q23),6.25,0)+IF(ISNUMBER(Q31),6.25,0)+IF(ISNUMBER(Q37),6.25,0)+IF(ISNUMBER(Q43),6.25,0)+IF(ISNUMBER(Q51),6.25,0)+IF(ISNUMBER(Q57),6.25,0)+IF(ISNUMBER(Q63),6.25,0)+IF(ISNUMBER(Q71),6.25,0)+IF(ISNUMBER(Q77),6.25,0)))</f>
        <v/>
      </c>
      <c r="R84" s="41" t="str">
        <f>IF((IF(ISNUMBER(R5),6.25,0)+IF(ISNUMBER(R11),6.25,0)+IF(ISNUMBER(R17),6.25,0)+IF(ISNUMBER(R23),6.25,0)+IF(ISNUMBER(R31),6.25,0)+IF(ISNUMBER(R37),6.25,0)+IF(ISNUMBER(R43),6.25,0)+IF(ISNUMBER(R51),6.25,0)+IF(ISNUMBER(R57),6.25,0)+IF(ISNUMBER(R63),6.25,0)+IF(ISNUMBER(R71),6.25,0)+IF(ISNUMBER(R77),6.25,0))=0,"",(IF(ISNUMBER(R5),R5*6.25,0)+IF(ISNUMBER(R11),R11*6.25,0)+IF(ISNUMBER(R17),R17*6.25,0)+IF(ISNUMBER(R23),R23*6.25,0)+IF(ISNUMBER(R31),R31*6.25,0)+IF(ISNUMBER(R37),R37*6.25,0)+IF(ISNUMBER(R43),R43*6.25,0)+IF(ISNUMBER(R51),R51*6.25,0)+IF(ISNUMBER(R57),R57*6.25,0)+IF(ISNUMBER(R63),R63*6.25,0)+IF(ISNUMBER(R71),R71*6.25,0)+IF(ISNUMBER(R77),R77*6.25,0))/(IF(ISNUMBER(R5),6.25,0)+IF(ISNUMBER(R11),6.25,0)+IF(ISNUMBER(R17),6.25,0)+IF(ISNUMBER(R23),6.25,0)+IF(ISNUMBER(R31),6.25,0)+IF(ISNUMBER(R37),6.25,0)+IF(ISNUMBER(R43),6.25,0)+IF(ISNUMBER(R51),6.25,0)+IF(ISNUMBER(R57),6.25,0)+IF(ISNUMBER(R63),6.25,0)+IF(ISNUMBER(R71),6.25,0)+IF(ISNUMBER(R77),6.25,0)))</f>
        <v/>
      </c>
      <c r="S84" s="41" t="str">
        <f>IF((IF(ISNUMBER(S5),6.25,0)+IF(ISNUMBER(S11),6.25,0)+IF(ISNUMBER(S17),6.25,0)+IF(ISNUMBER(S23),6.25,0)+IF(ISNUMBER(S31),6.25,0)+IF(ISNUMBER(S37),6.25,0)+IF(ISNUMBER(S43),6.25,0)+IF(ISNUMBER(S51),6.25,0)+IF(ISNUMBER(S57),6.25,0)+IF(ISNUMBER(S63),6.25,0)+IF(ISNUMBER(S71),6.25,0)+IF(ISNUMBER(S77),6.25,0))=0,"",(IF(ISNUMBER(S5),S5*6.25,0)+IF(ISNUMBER(S11),S11*6.25,0)+IF(ISNUMBER(S17),S17*6.25,0)+IF(ISNUMBER(S23),S23*6.25,0)+IF(ISNUMBER(S31),S31*6.25,0)+IF(ISNUMBER(S37),S37*6.25,0)+IF(ISNUMBER(S43),S43*6.25,0)+IF(ISNUMBER(S51),S51*6.25,0)+IF(ISNUMBER(S57),S57*6.25,0)+IF(ISNUMBER(S63),S63*6.25,0)+IF(ISNUMBER(S71),S71*6.25,0)+IF(ISNUMBER(S77),S77*6.25,0))/(IF(ISNUMBER(S5),6.25,0)+IF(ISNUMBER(S11),6.25,0)+IF(ISNUMBER(S17),6.25,0)+IF(ISNUMBER(S23),6.25,0)+IF(ISNUMBER(S31),6.25,0)+IF(ISNUMBER(S37),6.25,0)+IF(ISNUMBER(S43),6.25,0)+IF(ISNUMBER(S51),6.25,0)+IF(ISNUMBER(S57),6.25,0)+IF(ISNUMBER(S63),6.25,0)+IF(ISNUMBER(S71),6.25,0)+IF(ISNUMBER(S77),6.25,0)))</f>
        <v/>
      </c>
      <c r="T84" s="41" t="str">
        <f>IF((IF(ISNUMBER(T5),6.25,0)+IF(ISNUMBER(T11),6.25,0)+IF(ISNUMBER(T17),6.25,0)+IF(ISNUMBER(T23),6.25,0)+IF(ISNUMBER(T31),6.25,0)+IF(ISNUMBER(T37),6.25,0)+IF(ISNUMBER(T43),6.25,0)+IF(ISNUMBER(T51),6.25,0)+IF(ISNUMBER(T57),6.25,0)+IF(ISNUMBER(T63),6.25,0)+IF(ISNUMBER(T71),6.25,0)+IF(ISNUMBER(T77),6.25,0))=0,"",(IF(ISNUMBER(T5),T5*6.25,0)+IF(ISNUMBER(T11),T11*6.25,0)+IF(ISNUMBER(T17),T17*6.25,0)+IF(ISNUMBER(T23),T23*6.25,0)+IF(ISNUMBER(T31),T31*6.25,0)+IF(ISNUMBER(T37),T37*6.25,0)+IF(ISNUMBER(T43),T43*6.25,0)+IF(ISNUMBER(T51),T51*6.25,0)+IF(ISNUMBER(T57),T57*6.25,0)+IF(ISNUMBER(T63),T63*6.25,0)+IF(ISNUMBER(T71),T71*6.25,0)+IF(ISNUMBER(T77),T77*6.25,0))/(IF(ISNUMBER(T5),6.25,0)+IF(ISNUMBER(T11),6.25,0)+IF(ISNUMBER(T17),6.25,0)+IF(ISNUMBER(T23),6.25,0)+IF(ISNUMBER(T31),6.25,0)+IF(ISNUMBER(T37),6.25,0)+IF(ISNUMBER(T43),6.25,0)+IF(ISNUMBER(T51),6.25,0)+IF(ISNUMBER(T57),6.25,0)+IF(ISNUMBER(T63),6.25,0)+IF(ISNUMBER(T71),6.25,0)+IF(ISNUMBER(T77),6.25,0)))</f>
        <v/>
      </c>
      <c r="U84" s="41" t="str">
        <f>IF((IF(ISNUMBER(U5),6.25,0)+IF(ISNUMBER(U11),6.25,0)+IF(ISNUMBER(U17),6.25,0)+IF(ISNUMBER(U23),6.25,0)+IF(ISNUMBER(U31),6.25,0)+IF(ISNUMBER(U37),6.25,0)+IF(ISNUMBER(U43),6.25,0)+IF(ISNUMBER(U51),6.25,0)+IF(ISNUMBER(U57),6.25,0)+IF(ISNUMBER(U63),6.25,0)+IF(ISNUMBER(U71),6.25,0)+IF(ISNUMBER(U77),6.25,0))=0,"",(IF(ISNUMBER(U5),U5*6.25,0)+IF(ISNUMBER(U11),U11*6.25,0)+IF(ISNUMBER(U17),U17*6.25,0)+IF(ISNUMBER(U23),U23*6.25,0)+IF(ISNUMBER(U31),U31*6.25,0)+IF(ISNUMBER(U37),U37*6.25,0)+IF(ISNUMBER(U43),U43*6.25,0)+IF(ISNUMBER(U51),U51*6.25,0)+IF(ISNUMBER(U57),U57*6.25,0)+IF(ISNUMBER(U63),U63*6.25,0)+IF(ISNUMBER(U71),U71*6.25,0)+IF(ISNUMBER(U77),U77*6.25,0))/(IF(ISNUMBER(U5),6.25,0)+IF(ISNUMBER(U11),6.25,0)+IF(ISNUMBER(U17),6.25,0)+IF(ISNUMBER(U23),6.25,0)+IF(ISNUMBER(U31),6.25,0)+IF(ISNUMBER(U37),6.25,0)+IF(ISNUMBER(U43),6.25,0)+IF(ISNUMBER(U51),6.25,0)+IF(ISNUMBER(U57),6.25,0)+IF(ISNUMBER(U63),6.25,0)+IF(ISNUMBER(U71),6.25,0)+IF(ISNUMBER(U77),6.25,0)))</f>
        <v/>
      </c>
      <c r="V84" s="41" t="str">
        <f>IF((IF(ISNUMBER(V5),6.25,0)+IF(ISNUMBER(V11),6.25,0)+IF(ISNUMBER(V17),6.25,0)+IF(ISNUMBER(V23),6.25,0)+IF(ISNUMBER(V31),6.25,0)+IF(ISNUMBER(V37),6.25,0)+IF(ISNUMBER(V43),6.25,0)+IF(ISNUMBER(V51),6.25,0)+IF(ISNUMBER(V57),6.25,0)+IF(ISNUMBER(V63),6.25,0)+IF(ISNUMBER(V71),6.25,0)+IF(ISNUMBER(V77),6.25,0))=0,"",(IF(ISNUMBER(V5),V5*6.25,0)+IF(ISNUMBER(V11),V11*6.25,0)+IF(ISNUMBER(V17),V17*6.25,0)+IF(ISNUMBER(V23),V23*6.25,0)+IF(ISNUMBER(V31),V31*6.25,0)+IF(ISNUMBER(V37),V37*6.25,0)+IF(ISNUMBER(V43),V43*6.25,0)+IF(ISNUMBER(V51),V51*6.25,0)+IF(ISNUMBER(V57),V57*6.25,0)+IF(ISNUMBER(V63),V63*6.25,0)+IF(ISNUMBER(V71),V71*6.25,0)+IF(ISNUMBER(V77),V77*6.25,0))/(IF(ISNUMBER(V5),6.25,0)+IF(ISNUMBER(V11),6.25,0)+IF(ISNUMBER(V17),6.25,0)+IF(ISNUMBER(V23),6.25,0)+IF(ISNUMBER(V31),6.25,0)+IF(ISNUMBER(V37),6.25,0)+IF(ISNUMBER(V43),6.25,0)+IF(ISNUMBER(V51),6.25,0)+IF(ISNUMBER(V57),6.25,0)+IF(ISNUMBER(V63),6.25,0)+IF(ISNUMBER(V71),6.25,0)+IF(ISNUMBER(V77),6.25,0)))</f>
        <v/>
      </c>
      <c r="W84" s="41" t="str">
        <f>IF((IF(ISNUMBER(W5),6.25,0)+IF(ISNUMBER(W11),6.25,0)+IF(ISNUMBER(W17),6.25,0)+IF(ISNUMBER(W23),6.25,0)+IF(ISNUMBER(W31),6.25,0)+IF(ISNUMBER(W37),6.25,0)+IF(ISNUMBER(W43),6.25,0)+IF(ISNUMBER(W51),6.25,0)+IF(ISNUMBER(W57),6.25,0)+IF(ISNUMBER(W63),6.25,0)+IF(ISNUMBER(W71),6.25,0)+IF(ISNUMBER(W77),6.25,0))=0,"",(IF(ISNUMBER(W5),W5*6.25,0)+IF(ISNUMBER(W11),W11*6.25,0)+IF(ISNUMBER(W17),W17*6.25,0)+IF(ISNUMBER(W23),W23*6.25,0)+IF(ISNUMBER(W31),W31*6.25,0)+IF(ISNUMBER(W37),W37*6.25,0)+IF(ISNUMBER(W43),W43*6.25,0)+IF(ISNUMBER(W51),W51*6.25,0)+IF(ISNUMBER(W57),W57*6.25,0)+IF(ISNUMBER(W63),W63*6.25,0)+IF(ISNUMBER(W71),W71*6.25,0)+IF(ISNUMBER(W77),W77*6.25,0))/(IF(ISNUMBER(W5),6.25,0)+IF(ISNUMBER(W11),6.25,0)+IF(ISNUMBER(W17),6.25,0)+IF(ISNUMBER(W23),6.25,0)+IF(ISNUMBER(W31),6.25,0)+IF(ISNUMBER(W37),6.25,0)+IF(ISNUMBER(W43),6.25,0)+IF(ISNUMBER(W51),6.25,0)+IF(ISNUMBER(W57),6.25,0)+IF(ISNUMBER(W63),6.25,0)+IF(ISNUMBER(W71),6.25,0)+IF(ISNUMBER(W77),6.25,0)))</f>
        <v/>
      </c>
      <c r="X84" s="41" t="str">
        <f>IF((IF(ISNUMBER(X5),6.25,0)+IF(ISNUMBER(X11),6.25,0)+IF(ISNUMBER(X17),6.25,0)+IF(ISNUMBER(X23),6.25,0)+IF(ISNUMBER(X31),6.25,0)+IF(ISNUMBER(X37),6.25,0)+IF(ISNUMBER(X43),6.25,0)+IF(ISNUMBER(X51),6.25,0)+IF(ISNUMBER(X57),6.25,0)+IF(ISNUMBER(X63),6.25,0)+IF(ISNUMBER(X71),6.25,0)+IF(ISNUMBER(X77),6.25,0))=0,"",(IF(ISNUMBER(X5),X5*6.25,0)+IF(ISNUMBER(X11),X11*6.25,0)+IF(ISNUMBER(X17),X17*6.25,0)+IF(ISNUMBER(X23),X23*6.25,0)+IF(ISNUMBER(X31),X31*6.25,0)+IF(ISNUMBER(X37),X37*6.25,0)+IF(ISNUMBER(X43),X43*6.25,0)+IF(ISNUMBER(X51),X51*6.25,0)+IF(ISNUMBER(X57),X57*6.25,0)+IF(ISNUMBER(X63),X63*6.25,0)+IF(ISNUMBER(X71),X71*6.25,0)+IF(ISNUMBER(X77),X77*6.25,0))/(IF(ISNUMBER(X5),6.25,0)+IF(ISNUMBER(X11),6.25,0)+IF(ISNUMBER(X17),6.25,0)+IF(ISNUMBER(X23),6.25,0)+IF(ISNUMBER(X31),6.25,0)+IF(ISNUMBER(X37),6.25,0)+IF(ISNUMBER(X43),6.25,0)+IF(ISNUMBER(X51),6.25,0)+IF(ISNUMBER(X57),6.25,0)+IF(ISNUMBER(X63),6.25,0)+IF(ISNUMBER(X71),6.25,0)+IF(ISNUMBER(X77),6.25,0)))</f>
        <v/>
      </c>
      <c r="Y84" s="41" t="str">
        <f>IF((IF(ISNUMBER(Y5),6.25,0)+IF(ISNUMBER(Y11),6.25,0)+IF(ISNUMBER(Y17),6.25,0)+IF(ISNUMBER(Y23),6.25,0)+IF(ISNUMBER(Y31),6.25,0)+IF(ISNUMBER(Y37),6.25,0)+IF(ISNUMBER(Y43),6.25,0)+IF(ISNUMBER(Y51),6.25,0)+IF(ISNUMBER(Y57),6.25,0)+IF(ISNUMBER(Y63),6.25,0)+IF(ISNUMBER(Y71),6.25,0)+IF(ISNUMBER(Y77),6.25,0))=0,"",(IF(ISNUMBER(Y5),Y5*6.25,0)+IF(ISNUMBER(Y11),Y11*6.25,0)+IF(ISNUMBER(Y17),Y17*6.25,0)+IF(ISNUMBER(Y23),Y23*6.25,0)+IF(ISNUMBER(Y31),Y31*6.25,0)+IF(ISNUMBER(Y37),Y37*6.25,0)+IF(ISNUMBER(Y43),Y43*6.25,0)+IF(ISNUMBER(Y51),Y51*6.25,0)+IF(ISNUMBER(Y57),Y57*6.25,0)+IF(ISNUMBER(Y63),Y63*6.25,0)+IF(ISNUMBER(Y71),Y71*6.25,0)+IF(ISNUMBER(Y77),Y77*6.25,0))/(IF(ISNUMBER(Y5),6.25,0)+IF(ISNUMBER(Y11),6.25,0)+IF(ISNUMBER(Y17),6.25,0)+IF(ISNUMBER(Y23),6.25,0)+IF(ISNUMBER(Y31),6.25,0)+IF(ISNUMBER(Y37),6.25,0)+IF(ISNUMBER(Y43),6.25,0)+IF(ISNUMBER(Y51),6.25,0)+IF(ISNUMBER(Y57),6.25,0)+IF(ISNUMBER(Y63),6.25,0)+IF(ISNUMBER(Y71),6.25,0)+IF(ISNUMBER(Y77),6.25,0)))</f>
        <v/>
      </c>
      <c r="Z84" s="41" t="str">
        <f>_xlfn.IFERROR(AVERAGE(E84:Y84),"")</f>
        <v/>
      </c>
    </row>
  </sheetData>
  <mergeCells count="7">
    <mergeCell ref="A1:Z1"/>
    <mergeCell ref="A70:Z70"/>
    <mergeCell ref="A50:Z50"/>
    <mergeCell ref="A4:Z4"/>
    <mergeCell ref="A30:Z30"/>
    <mergeCell ref="A2:Z2"/>
    <mergeCell ref="A84:D84"/>
  </mergeCells>
  <conditionalFormatting sqref="E4:Y84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Z4:Z84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dataValidations count="60">
    <dataValidation allowBlank="1" type="list" errorStyle="stop" sqref="E32:Y32">
      <formula1>"Ya,Tidak"</formula1>
    </dataValidation>
    <dataValidation allowBlank="1" type="list" errorStyle="stop" sqref="E41:Y41">
      <formula1>"Ya,Tidak"</formula1>
    </dataValidation>
    <dataValidation allowBlank="1" type="list" errorStyle="stop" sqref="E35:Y35">
      <formula1>"Ya,Tidak"</formula1>
    </dataValidation>
    <dataValidation allowBlank="1" type="list" errorStyle="stop" sqref="E38:Y38">
      <formula1>"Ya,Tidak"</formula1>
    </dataValidation>
    <dataValidation allowBlank="1" type="list" errorStyle="stop" sqref="E6:Y6">
      <formula1>"Ya,Tidak"</formula1>
    </dataValidation>
    <dataValidation allowBlank="1" type="list" errorStyle="stop" sqref="E14:Y14">
      <formula1>"Ya,Tidak"</formula1>
    </dataValidation>
    <dataValidation allowBlank="1" type="list" errorStyle="stop" sqref="E12:Y12">
      <formula1>"Ya,Tidak"</formula1>
    </dataValidation>
    <dataValidation allowBlank="1" type="list" errorStyle="stop" sqref="E9:Y9">
      <formula1>"Ya,Tidak"</formula1>
    </dataValidation>
    <dataValidation allowBlank="1" type="list" errorStyle="stop" sqref="E34:Y34">
      <formula1>"Ya,Tidak"</formula1>
    </dataValidation>
    <dataValidation allowBlank="1" type="list" errorStyle="stop" sqref="E53:Y53">
      <formula1>"Ya,Tidak"</formula1>
    </dataValidation>
    <dataValidation allowBlank="1" type="list" errorStyle="stop" sqref="E10:Y10">
      <formula1>"Ya,Tidak"</formula1>
    </dataValidation>
    <dataValidation allowBlank="1" type="list" errorStyle="stop" sqref="E26:Y26">
      <formula1>"Ya,Tidak"</formula1>
    </dataValidation>
    <dataValidation allowBlank="1" type="list" errorStyle="stop" sqref="E18:Y18">
      <formula1>"Ya,Tidak"</formula1>
    </dataValidation>
    <dataValidation allowBlank="1" type="list" errorStyle="stop" sqref="E39:Y39">
      <formula1>"Ya,Tidak"</formula1>
    </dataValidation>
    <dataValidation allowBlank="1" type="list" errorStyle="stop" sqref="E7:Y7">
      <formula1>"Ya,Tidak"</formula1>
    </dataValidation>
    <dataValidation allowBlank="1" type="list" errorStyle="stop" sqref="E19:Y19">
      <formula1>"Ya,Tidak"</formula1>
    </dataValidation>
    <dataValidation allowBlank="1" type="list" errorStyle="stop" sqref="E16:Y16">
      <formula1>"Ya,Tidak"</formula1>
    </dataValidation>
    <dataValidation allowBlank="1" type="list" errorStyle="stop" sqref="E13:Y13">
      <formula1>"Ya,Tidak"</formula1>
    </dataValidation>
    <dataValidation allowBlank="1" type="list" errorStyle="stop" sqref="E47:Y47">
      <formula1>"Ya,Tidak"</formula1>
    </dataValidation>
    <dataValidation allowBlank="1" type="list" errorStyle="stop" sqref="E62:Y62">
      <formula1>"Ya,Tidak"</formula1>
    </dataValidation>
    <dataValidation allowBlank="1" type="list" errorStyle="stop" sqref="E59:Y59">
      <formula1>"Ya,Tidak"</formula1>
    </dataValidation>
    <dataValidation allowBlank="1" type="list" errorStyle="stop" sqref="E54:Y54">
      <formula1>"Ya,Tidak"</formula1>
    </dataValidation>
    <dataValidation allowBlank="1" type="list" errorStyle="stop" sqref="E52:Y52">
      <formula1>"Ya,Tidak"</formula1>
    </dataValidation>
    <dataValidation allowBlank="1" type="list" errorStyle="stop" sqref="E56:Y56">
      <formula1>"Ya,Tidak"</formula1>
    </dataValidation>
    <dataValidation allowBlank="1" type="list" errorStyle="stop" sqref="E61:Y61">
      <formula1>"Ya,Tidak"</formula1>
    </dataValidation>
    <dataValidation allowBlank="1" type="list" errorStyle="stop" sqref="E45:Y45">
      <formula1>"Ya,Tidak"</formula1>
    </dataValidation>
    <dataValidation allowBlank="1" type="list" errorStyle="stop" sqref="E60:Y60">
      <formula1>"Ya,Tidak"</formula1>
    </dataValidation>
    <dataValidation allowBlank="1" type="list" errorStyle="stop" sqref="E42:Y42">
      <formula1>"Ya,Tidak"</formula1>
    </dataValidation>
    <dataValidation allowBlank="1" type="list" errorStyle="stop" sqref="E58:Y58">
      <formula1>"Ya,Tidak"</formula1>
    </dataValidation>
    <dataValidation allowBlank="1" type="list" errorStyle="stop" sqref="E33:Y33">
      <formula1>"Ya,Tidak"</formula1>
    </dataValidation>
    <dataValidation allowBlank="1" type="list" errorStyle="stop" sqref="E46:Y46">
      <formula1>"Ya,Tidak"</formula1>
    </dataValidation>
    <dataValidation allowBlank="1" type="list" errorStyle="stop" sqref="E44:Y44">
      <formula1>"Ya,Tidak"</formula1>
    </dataValidation>
    <dataValidation allowBlank="1" type="list" errorStyle="stop" sqref="E36:Y36">
      <formula1>"Ya,Tidak"</formula1>
    </dataValidation>
    <dataValidation allowBlank="1" type="list" errorStyle="stop" sqref="E15:Y15">
      <formula1>"Ya,Tidak"</formula1>
    </dataValidation>
    <dataValidation allowBlank="1" type="list" errorStyle="stop" sqref="E28:Y28">
      <formula1>"Ya,Tidak"</formula1>
    </dataValidation>
    <dataValidation allowBlank="1" type="list" errorStyle="stop" sqref="E25:Y25">
      <formula1>"Ya,Tidak"</formula1>
    </dataValidation>
    <dataValidation allowBlank="1" type="list" errorStyle="stop" sqref="E22:Y22">
      <formula1>"Ya,Tidak"</formula1>
    </dataValidation>
    <dataValidation allowBlank="1" type="list" errorStyle="stop" sqref="E21:Y21">
      <formula1>"Ya,Tidak"</formula1>
    </dataValidation>
    <dataValidation allowBlank="1" type="list" errorStyle="stop" sqref="E20:Y20">
      <formula1>"Ya,Tidak"</formula1>
    </dataValidation>
    <dataValidation allowBlank="1" type="list" errorStyle="stop" sqref="E27:Y27">
      <formula1>"Ya,Tidak"</formula1>
    </dataValidation>
    <dataValidation allowBlank="1" type="list" errorStyle="stop" sqref="E40:Y40">
      <formula1>"Ya,Tidak"</formula1>
    </dataValidation>
    <dataValidation allowBlank="1" type="list" errorStyle="stop" sqref="E55:Y55">
      <formula1>"Ya,Tidak"</formula1>
    </dataValidation>
    <dataValidation allowBlank="1" type="list" errorStyle="stop" sqref="E48:Y48">
      <formula1>"Ya,Tidak"</formula1>
    </dataValidation>
    <dataValidation allowBlank="1" type="list" errorStyle="stop" sqref="E73:Y73">
      <formula1>"Ya,Tidak"</formula1>
    </dataValidation>
    <dataValidation allowBlank="1" type="list" errorStyle="stop" sqref="E8:Y8">
      <formula1>"Ya,Tidak"</formula1>
    </dataValidation>
    <dataValidation allowBlank="1" type="list" errorStyle="stop" sqref="E24:Y24">
      <formula1>"Ya,Tidak"</formula1>
    </dataValidation>
    <dataValidation allowBlank="1" type="list" errorStyle="stop" sqref="E64:Y64">
      <formula1>"Ya,Tidak"</formula1>
    </dataValidation>
    <dataValidation allowBlank="1" type="list" errorStyle="stop" sqref="E75:Y75">
      <formula1>"Ya,Tidak"</formula1>
    </dataValidation>
    <dataValidation allowBlank="1" type="list" errorStyle="stop" sqref="E67:Y67">
      <formula1>"Ya,Tidak"</formula1>
    </dataValidation>
    <dataValidation allowBlank="1" type="list" errorStyle="stop" sqref="E72:Y72">
      <formula1>"Ya,Tidak"</formula1>
    </dataValidation>
    <dataValidation allowBlank="1" type="list" errorStyle="stop" sqref="E65:Y65">
      <formula1>"Ya,Tidak"</formula1>
    </dataValidation>
    <dataValidation allowBlank="1" type="list" errorStyle="stop" sqref="E80:Y80">
      <formula1>"Ya,Tidak"</formula1>
    </dataValidation>
    <dataValidation allowBlank="1" type="list" errorStyle="stop" sqref="E78:Y78">
      <formula1>"Ya,Tidak"</formula1>
    </dataValidation>
    <dataValidation allowBlank="1" type="list" errorStyle="stop" sqref="E68:Y68">
      <formula1>"Ya,Tidak"</formula1>
    </dataValidation>
    <dataValidation allowBlank="1" type="list" errorStyle="stop" sqref="E81:Y81">
      <formula1>"Ya,Tidak"</formula1>
    </dataValidation>
    <dataValidation allowBlank="1" type="list" errorStyle="stop" sqref="E66:Y66">
      <formula1>"Ya,Tidak"</formula1>
    </dataValidation>
    <dataValidation allowBlank="1" type="list" errorStyle="stop" sqref="E79:Y79">
      <formula1>"Ya,Tidak"</formula1>
    </dataValidation>
    <dataValidation allowBlank="1" type="list" errorStyle="stop" sqref="E74:Y74">
      <formula1>"Ya,Tidak"</formula1>
    </dataValidation>
    <dataValidation allowBlank="1" type="list" errorStyle="stop" sqref="E76:Y76">
      <formula1>"Ya,Tidak"</formula1>
    </dataValidation>
    <dataValidation allowBlank="1" type="list" errorStyle="stop" sqref="E82:Y82">
      <formula1>"Ya,Tidak"</formula1>
    </dataValidation>
  </dataValidations>
  <pageMargins left="0.75" right="0.75" top="1.0" bottom="1.0" header="0.5" footer="0.5"/>
</worksheet>
</file>

<file path=xl/worksheets/sheet7.xml><?xml version="1.0" encoding="utf-8"?>
<worksheet xmlns:r="http://schemas.openxmlformats.org/officeDocument/2006/relationships" xmlns="http://schemas.openxmlformats.org/spreadsheetml/2006/main">
  <dimension ref="A1:AA70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62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8.0" customHeight="1">
      <c r="A1" s="1" t="s">
        <v>960</v>
      </c>
    </row>
    <row r="2" spans="8:8">
      <c r="A2" s="2" t="s">
        <v>961</v>
      </c>
    </row>
    <row r="3" spans="8:8" ht="30.0" customHeight="1">
      <c r="A3" s="6" t="s">
        <v>31</v>
      </c>
      <c r="B3" s="6" t="s">
        <v>23</v>
      </c>
      <c r="C3" s="6" t="s">
        <v>32</v>
      </c>
      <c r="D3" s="6" t="s">
        <v>33</v>
      </c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0.0" customHeight="1">
      <c r="A4" s="18" t="s">
        <v>962</v>
      </c>
    </row>
    <row r="5" spans="8:8" ht="40.0" customHeight="1">
      <c r="A5" s="28"/>
      <c r="B5" s="29" t="s">
        <v>12</v>
      </c>
      <c r="C5" s="30" t="s">
        <v>963</v>
      </c>
      <c r="D5" s="29">
        <v>10.0</v>
      </c>
      <c r="E5" s="31" t="str">
        <f>IF(COUNTA(E6:E10)=0,"",COUNTIF(E6:E10,"Ya")/5*100)</f>
        <v/>
      </c>
      <c r="F5" s="31" t="str">
        <f>IF(COUNTA(F6:F10)=0,"",COUNTIF(F6:F10,"Ya")/5*100)</f>
        <v/>
      </c>
      <c r="G5" s="31" t="str">
        <f>IF(COUNTA(G6:G10)=0,"",COUNTIF(G6:G10,"Ya")/5*100)</f>
        <v/>
      </c>
      <c r="H5" s="31" t="str">
        <f>IF(COUNTA(H6:H10)=0,"",COUNTIF(H6:H10,"Ya")/5*100)</f>
        <v/>
      </c>
      <c r="I5" s="31" t="str">
        <f>IF(COUNTA(I6:I10)=0,"",COUNTIF(I6:I10,"Ya")/5*100)</f>
        <v/>
      </c>
      <c r="J5" s="31" t="str">
        <f>IF(COUNTA(J6:J10)=0,"",COUNTIF(J6:J10,"Ya")/5*100)</f>
        <v/>
      </c>
      <c r="K5" s="31" t="str">
        <f>IF(COUNTA(K6:K10)=0,"",COUNTIF(K6:K10,"Ya")/5*100)</f>
        <v/>
      </c>
      <c r="L5" s="31" t="str">
        <f>IF(COUNTA(L6:L10)=0,"",COUNTIF(L6:L10,"Ya")/5*100)</f>
        <v/>
      </c>
      <c r="M5" s="31" t="str">
        <f>IF(COUNTA(M6:M10)=0,"",COUNTIF(M6:M10,"Ya")/5*100)</f>
        <v/>
      </c>
      <c r="N5" s="31" t="str">
        <f>IF(COUNTA(N6:N10)=0,"",COUNTIF(N6:N10,"Ya")/5*100)</f>
        <v/>
      </c>
      <c r="O5" s="31" t="str">
        <f>IF(COUNTA(O6:O10)=0,"",COUNTIF(O6:O10,"Ya")/5*100)</f>
        <v/>
      </c>
      <c r="P5" s="31" t="str">
        <f>IF(COUNTA(P6:P10)=0,"",COUNTIF(P6:P10,"Ya")/5*100)</f>
        <v/>
      </c>
      <c r="Q5" s="31" t="str">
        <f>IF(COUNTA(Q6:Q10)=0,"",COUNTIF(Q6:Q10,"Ya")/5*100)</f>
        <v/>
      </c>
      <c r="R5" s="31" t="str">
        <f>IF(COUNTA(R6:R10)=0,"",COUNTIF(R6:R10,"Ya")/5*100)</f>
        <v/>
      </c>
      <c r="S5" s="31" t="str">
        <f>IF(COUNTA(S6:S10)=0,"",COUNTIF(S6:S10,"Ya")/5*100)</f>
        <v/>
      </c>
      <c r="T5" s="31" t="str">
        <f>IF(COUNTA(T6:T10)=0,"",COUNTIF(T6:T10,"Ya")/5*100)</f>
        <v/>
      </c>
      <c r="U5" s="31" t="str">
        <f>IF(COUNTA(U6:U10)=0,"",COUNTIF(U6:U10,"Ya")/5*100)</f>
        <v/>
      </c>
      <c r="V5" s="31" t="str">
        <f>IF(COUNTA(V6:V10)=0,"",COUNTIF(V6:V10,"Ya")/5*100)</f>
        <v/>
      </c>
      <c r="W5" s="31" t="str">
        <f>IF(COUNTA(W6:W10)=0,"",COUNTIF(W6:W10,"Ya")/5*100)</f>
        <v/>
      </c>
      <c r="X5" s="31" t="str">
        <f>IF(COUNTA(X6:X10)=0,"",COUNTIF(X6:X10,"Ya")/5*100)</f>
        <v/>
      </c>
      <c r="Y5" s="31" t="str">
        <f>IF(COUNTA(Y6:Y10)=0,"",COUNTIF(Y6:Y10,"Ya")/5*100)</f>
        <v/>
      </c>
      <c r="Z5" s="31" t="str">
        <f>_xlfn.IFERROR(AVERAGE(E5:Y5),"")</f>
        <v/>
      </c>
    </row>
    <row r="6" spans="8:8" ht="14.0" customHeight="1">
      <c r="A6" s="32"/>
      <c r="B6" s="33" t="s">
        <v>904</v>
      </c>
      <c r="C6" s="34" t="s">
        <v>964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8:8" ht="25.0" customHeight="1">
      <c r="A7" s="32"/>
      <c r="B7" s="33" t="s">
        <v>906</v>
      </c>
      <c r="C7" s="34" t="s">
        <v>965</v>
      </c>
      <c r="D7" s="3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8:8" ht="25.0" customHeight="1">
      <c r="A8" s="32"/>
      <c r="B8" s="33" t="s">
        <v>908</v>
      </c>
      <c r="C8" s="34" t="s">
        <v>966</v>
      </c>
      <c r="D8" s="32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8:8" ht="25.0" customHeight="1">
      <c r="A9" s="32"/>
      <c r="B9" s="33" t="s">
        <v>910</v>
      </c>
      <c r="C9" s="34" t="s">
        <v>967</v>
      </c>
      <c r="D9" s="32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8:8" ht="25.0" customHeight="1">
      <c r="A10" s="32"/>
      <c r="B10" s="33" t="s">
        <v>912</v>
      </c>
      <c r="C10" s="34" t="s">
        <v>968</v>
      </c>
      <c r="D10" s="32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8:8" ht="40.0" customHeight="1">
      <c r="A11" s="28"/>
      <c r="B11" s="29" t="s">
        <v>13</v>
      </c>
      <c r="C11" s="30" t="s">
        <v>969</v>
      </c>
      <c r="D11" s="29">
        <v>10.0</v>
      </c>
      <c r="E11" s="31" t="str">
        <f>IF(COUNTA(E12:E16)=0,"",COUNTIF(E12:E16,"Ya")/5*100)</f>
        <v/>
      </c>
      <c r="F11" s="31" t="str">
        <f>IF(COUNTA(F12:F16)=0,"",COUNTIF(F12:F16,"Ya")/5*100)</f>
        <v/>
      </c>
      <c r="G11" s="31" t="str">
        <f>IF(COUNTA(G12:G16)=0,"",COUNTIF(G12:G16,"Ya")/5*100)</f>
        <v/>
      </c>
      <c r="H11" s="31" t="str">
        <f>IF(COUNTA(H12:H16)=0,"",COUNTIF(H12:H16,"Ya")/5*100)</f>
        <v/>
      </c>
      <c r="I11" s="31" t="str">
        <f>IF(COUNTA(I12:I16)=0,"",COUNTIF(I12:I16,"Ya")/5*100)</f>
        <v/>
      </c>
      <c r="J11" s="31" t="str">
        <f>IF(COUNTA(J12:J16)=0,"",COUNTIF(J12:J16,"Ya")/5*100)</f>
        <v/>
      </c>
      <c r="K11" s="31" t="str">
        <f>IF(COUNTA(K12:K16)=0,"",COUNTIF(K12:K16,"Ya")/5*100)</f>
        <v/>
      </c>
      <c r="L11" s="31" t="str">
        <f>IF(COUNTA(L12:L16)=0,"",COUNTIF(L12:L16,"Ya")/5*100)</f>
        <v/>
      </c>
      <c r="M11" s="31" t="str">
        <f>IF(COUNTA(M12:M16)=0,"",COUNTIF(M12:M16,"Ya")/5*100)</f>
        <v/>
      </c>
      <c r="N11" s="31" t="str">
        <f>IF(COUNTA(N12:N16)=0,"",COUNTIF(N12:N16,"Ya")/5*100)</f>
        <v/>
      </c>
      <c r="O11" s="31" t="str">
        <f>IF(COUNTA(O12:O16)=0,"",COUNTIF(O12:O16,"Ya")/5*100)</f>
        <v/>
      </c>
      <c r="P11" s="31" t="str">
        <f>IF(COUNTA(P12:P16)=0,"",COUNTIF(P12:P16,"Ya")/5*100)</f>
        <v/>
      </c>
      <c r="Q11" s="31" t="str">
        <f>IF(COUNTA(Q12:Q16)=0,"",COUNTIF(Q12:Q16,"Ya")/5*100)</f>
        <v/>
      </c>
      <c r="R11" s="31" t="str">
        <f>IF(COUNTA(R12:R16)=0,"",COUNTIF(R12:R16,"Ya")/5*100)</f>
        <v/>
      </c>
      <c r="S11" s="31" t="str">
        <f>IF(COUNTA(S12:S16)=0,"",COUNTIF(S12:S16,"Ya")/5*100)</f>
        <v/>
      </c>
      <c r="T11" s="31" t="str">
        <f>IF(COUNTA(T12:T16)=0,"",COUNTIF(T12:T16,"Ya")/5*100)</f>
        <v/>
      </c>
      <c r="U11" s="31" t="str">
        <f>IF(COUNTA(U12:U16)=0,"",COUNTIF(U12:U16,"Ya")/5*100)</f>
        <v/>
      </c>
      <c r="V11" s="31" t="str">
        <f>IF(COUNTA(V12:V16)=0,"",COUNTIF(V12:V16,"Ya")/5*100)</f>
        <v/>
      </c>
      <c r="W11" s="31" t="str">
        <f>IF(COUNTA(W12:W16)=0,"",COUNTIF(W12:W16,"Ya")/5*100)</f>
        <v/>
      </c>
      <c r="X11" s="31" t="str">
        <f>IF(COUNTA(X12:X16)=0,"",COUNTIF(X12:X16,"Ya")/5*100)</f>
        <v/>
      </c>
      <c r="Y11" s="31" t="str">
        <f>IF(COUNTA(Y12:Y16)=0,"",COUNTIF(Y12:Y16,"Ya")/5*100)</f>
        <v/>
      </c>
      <c r="Z11" s="31" t="str">
        <f>_xlfn.IFERROR(AVERAGE(E11:Y11),"")</f>
        <v/>
      </c>
    </row>
    <row r="12" spans="8:8" ht="25.0" customHeight="1">
      <c r="A12" s="32"/>
      <c r="B12" s="33" t="s">
        <v>915</v>
      </c>
      <c r="C12" s="34" t="s">
        <v>970</v>
      </c>
      <c r="D12" s="32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8:8" ht="25.0" customHeight="1">
      <c r="A13" s="32"/>
      <c r="B13" s="33" t="s">
        <v>917</v>
      </c>
      <c r="C13" s="34" t="s">
        <v>971</v>
      </c>
      <c r="D13" s="32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8:8" ht="25.0" customHeight="1">
      <c r="A14" s="32"/>
      <c r="B14" s="33" t="s">
        <v>919</v>
      </c>
      <c r="C14" s="34" t="s">
        <v>972</v>
      </c>
      <c r="D14" s="32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8:8" ht="25.0" customHeight="1">
      <c r="A15" s="32"/>
      <c r="B15" s="33" t="s">
        <v>921</v>
      </c>
      <c r="C15" s="34" t="s">
        <v>973</v>
      </c>
      <c r="D15" s="32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8:8" ht="25.0" customHeight="1">
      <c r="A16" s="32"/>
      <c r="B16" s="33" t="s">
        <v>923</v>
      </c>
      <c r="C16" s="34" t="s">
        <v>974</v>
      </c>
      <c r="D16" s="32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8:8" ht="40.0" customHeight="1">
      <c r="A17" s="28"/>
      <c r="B17" s="29" t="s">
        <v>14</v>
      </c>
      <c r="C17" s="30" t="s">
        <v>975</v>
      </c>
      <c r="D17" s="29">
        <v>10.0</v>
      </c>
      <c r="E17" s="31" t="str">
        <f>IF(COUNTA(E18:E22)=0,"",COUNTIF(E18:E22,"Ya")/5*100)</f>
        <v/>
      </c>
      <c r="F17" s="31" t="str">
        <f>IF(COUNTA(F18:F22)=0,"",COUNTIF(F18:F22,"Ya")/5*100)</f>
        <v/>
      </c>
      <c r="G17" s="31" t="str">
        <f>IF(COUNTA(G18:G22)=0,"",COUNTIF(G18:G22,"Ya")/5*100)</f>
        <v/>
      </c>
      <c r="H17" s="31" t="str">
        <f>IF(COUNTA(H18:H22)=0,"",COUNTIF(H18:H22,"Ya")/5*100)</f>
        <v/>
      </c>
      <c r="I17" s="31" t="str">
        <f>IF(COUNTA(I18:I22)=0,"",COUNTIF(I18:I22,"Ya")/5*100)</f>
        <v/>
      </c>
      <c r="J17" s="31" t="str">
        <f>IF(COUNTA(J18:J22)=0,"",COUNTIF(J18:J22,"Ya")/5*100)</f>
        <v/>
      </c>
      <c r="K17" s="31" t="str">
        <f>IF(COUNTA(K18:K22)=0,"",COUNTIF(K18:K22,"Ya")/5*100)</f>
        <v/>
      </c>
      <c r="L17" s="31" t="str">
        <f>IF(COUNTA(L18:L22)=0,"",COUNTIF(L18:L22,"Ya")/5*100)</f>
        <v/>
      </c>
      <c r="M17" s="31" t="str">
        <f>IF(COUNTA(M18:M22)=0,"",COUNTIF(M18:M22,"Ya")/5*100)</f>
        <v/>
      </c>
      <c r="N17" s="31" t="str">
        <f>IF(COUNTA(N18:N22)=0,"",COUNTIF(N18:N22,"Ya")/5*100)</f>
        <v/>
      </c>
      <c r="O17" s="31" t="str">
        <f>IF(COUNTA(O18:O22)=0,"",COUNTIF(O18:O22,"Ya")/5*100)</f>
        <v/>
      </c>
      <c r="P17" s="31" t="str">
        <f>IF(COUNTA(P18:P22)=0,"",COUNTIF(P18:P22,"Ya")/5*100)</f>
        <v/>
      </c>
      <c r="Q17" s="31" t="str">
        <f>IF(COUNTA(Q18:Q22)=0,"",COUNTIF(Q18:Q22,"Ya")/5*100)</f>
        <v/>
      </c>
      <c r="R17" s="31" t="str">
        <f>IF(COUNTA(R18:R22)=0,"",COUNTIF(R18:R22,"Ya")/5*100)</f>
        <v/>
      </c>
      <c r="S17" s="31" t="str">
        <f>IF(COUNTA(S18:S22)=0,"",COUNTIF(S18:S22,"Ya")/5*100)</f>
        <v/>
      </c>
      <c r="T17" s="31" t="str">
        <f>IF(COUNTA(T18:T22)=0,"",COUNTIF(T18:T22,"Ya")/5*100)</f>
        <v/>
      </c>
      <c r="U17" s="31" t="str">
        <f>IF(COUNTA(U18:U22)=0,"",COUNTIF(U18:U22,"Ya")/5*100)</f>
        <v/>
      </c>
      <c r="V17" s="31" t="str">
        <f>IF(COUNTA(V18:V22)=0,"",COUNTIF(V18:V22,"Ya")/5*100)</f>
        <v/>
      </c>
      <c r="W17" s="31" t="str">
        <f>IF(COUNTA(W18:W22)=0,"",COUNTIF(W18:W22,"Ya")/5*100)</f>
        <v/>
      </c>
      <c r="X17" s="31" t="str">
        <f>IF(COUNTA(X18:X22)=0,"",COUNTIF(X18:X22,"Ya")/5*100)</f>
        <v/>
      </c>
      <c r="Y17" s="31" t="str">
        <f>IF(COUNTA(Y18:Y22)=0,"",COUNTIF(Y18:Y22,"Ya")/5*100)</f>
        <v/>
      </c>
      <c r="Z17" s="31" t="str">
        <f>_xlfn.IFERROR(AVERAGE(E17:Y17),"")</f>
        <v/>
      </c>
    </row>
    <row r="18" spans="8:8" ht="25.0" customHeight="1">
      <c r="A18" s="32"/>
      <c r="B18" s="33" t="s">
        <v>926</v>
      </c>
      <c r="C18" s="34" t="s">
        <v>976</v>
      </c>
      <c r="D18" s="32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8:8" ht="25.0" customHeight="1">
      <c r="A19" s="32"/>
      <c r="B19" s="33" t="s">
        <v>928</v>
      </c>
      <c r="C19" s="34" t="s">
        <v>977</v>
      </c>
      <c r="D19" s="32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8:8" ht="25.0" customHeight="1">
      <c r="A20" s="32"/>
      <c r="B20" s="33" t="s">
        <v>930</v>
      </c>
      <c r="C20" s="34" t="s">
        <v>978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8:8" ht="25.0" customHeight="1">
      <c r="A21" s="32"/>
      <c r="B21" s="33" t="s">
        <v>932</v>
      </c>
      <c r="C21" s="34" t="s">
        <v>979</v>
      </c>
      <c r="D21" s="32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8:8" ht="25.0" customHeight="1">
      <c r="A22" s="32"/>
      <c r="B22" s="33" t="s">
        <v>934</v>
      </c>
      <c r="C22" s="34" t="s">
        <v>980</v>
      </c>
      <c r="D22" s="32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8:8" ht="40.0" customHeight="1">
      <c r="A23" s="28"/>
      <c r="B23" s="29" t="s">
        <v>15</v>
      </c>
      <c r="C23" s="30" t="s">
        <v>981</v>
      </c>
      <c r="D23" s="29">
        <v>10.0</v>
      </c>
      <c r="E23" s="31" t="str">
        <f>IF(COUNTA(E24:E28)=0,"",COUNTIF(E24:E28,"Ya")/5*100)</f>
        <v/>
      </c>
      <c r="F23" s="31" t="str">
        <f>IF(COUNTA(F24:F28)=0,"",COUNTIF(F24:F28,"Ya")/5*100)</f>
        <v/>
      </c>
      <c r="G23" s="31" t="str">
        <f>IF(COUNTA(G24:G28)=0,"",COUNTIF(G24:G28,"Ya")/5*100)</f>
        <v/>
      </c>
      <c r="H23" s="31" t="str">
        <f>IF(COUNTA(H24:H28)=0,"",COUNTIF(H24:H28,"Ya")/5*100)</f>
        <v/>
      </c>
      <c r="I23" s="31" t="str">
        <f>IF(COUNTA(I24:I28)=0,"",COUNTIF(I24:I28,"Ya")/5*100)</f>
        <v/>
      </c>
      <c r="J23" s="31" t="str">
        <f>IF(COUNTA(J24:J28)=0,"",COUNTIF(J24:J28,"Ya")/5*100)</f>
        <v/>
      </c>
      <c r="K23" s="31" t="str">
        <f>IF(COUNTA(K24:K28)=0,"",COUNTIF(K24:K28,"Ya")/5*100)</f>
        <v/>
      </c>
      <c r="L23" s="31" t="str">
        <f>IF(COUNTA(L24:L28)=0,"",COUNTIF(L24:L28,"Ya")/5*100)</f>
        <v/>
      </c>
      <c r="M23" s="31" t="str">
        <f>IF(COUNTA(M24:M28)=0,"",COUNTIF(M24:M28,"Ya")/5*100)</f>
        <v/>
      </c>
      <c r="N23" s="31" t="str">
        <f>IF(COUNTA(N24:N28)=0,"",COUNTIF(N24:N28,"Ya")/5*100)</f>
        <v/>
      </c>
      <c r="O23" s="31" t="str">
        <f>IF(COUNTA(O24:O28)=0,"",COUNTIF(O24:O28,"Ya")/5*100)</f>
        <v/>
      </c>
      <c r="P23" s="31" t="str">
        <f>IF(COUNTA(P24:P28)=0,"",COUNTIF(P24:P28,"Ya")/5*100)</f>
        <v/>
      </c>
      <c r="Q23" s="31" t="str">
        <f>IF(COUNTA(Q24:Q28)=0,"",COUNTIF(Q24:Q28,"Ya")/5*100)</f>
        <v/>
      </c>
      <c r="R23" s="31" t="str">
        <f>IF(COUNTA(R24:R28)=0,"",COUNTIF(R24:R28,"Ya")/5*100)</f>
        <v/>
      </c>
      <c r="S23" s="31" t="str">
        <f>IF(COUNTA(S24:S28)=0,"",COUNTIF(S24:S28,"Ya")/5*100)</f>
        <v/>
      </c>
      <c r="T23" s="31" t="str">
        <f>IF(COUNTA(T24:T28)=0,"",COUNTIF(T24:T28,"Ya")/5*100)</f>
        <v/>
      </c>
      <c r="U23" s="31" t="str">
        <f>IF(COUNTA(U24:U28)=0,"",COUNTIF(U24:U28,"Ya")/5*100)</f>
        <v/>
      </c>
      <c r="V23" s="31" t="str">
        <f>IF(COUNTA(V24:V28)=0,"",COUNTIF(V24:V28,"Ya")/5*100)</f>
        <v/>
      </c>
      <c r="W23" s="31" t="str">
        <f>IF(COUNTA(W24:W28)=0,"",COUNTIF(W24:W28,"Ya")/5*100)</f>
        <v/>
      </c>
      <c r="X23" s="31" t="str">
        <f>IF(COUNTA(X24:X28)=0,"",COUNTIF(X24:X28,"Ya")/5*100)</f>
        <v/>
      </c>
      <c r="Y23" s="31" t="str">
        <f>IF(COUNTA(Y24:Y28)=0,"",COUNTIF(Y24:Y28,"Ya")/5*100)</f>
        <v/>
      </c>
      <c r="Z23" s="31" t="str">
        <f>_xlfn.IFERROR(AVERAGE(E23:Y23),"")</f>
        <v/>
      </c>
    </row>
    <row r="24" spans="8:8" ht="25.0" customHeight="1">
      <c r="A24" s="32"/>
      <c r="B24" s="33" t="s">
        <v>937</v>
      </c>
      <c r="C24" s="34" t="s">
        <v>982</v>
      </c>
      <c r="D24" s="32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8:8" ht="25.0" customHeight="1">
      <c r="A25" s="32"/>
      <c r="B25" s="33" t="s">
        <v>939</v>
      </c>
      <c r="C25" s="34" t="s">
        <v>977</v>
      </c>
      <c r="D25" s="32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8:8" ht="25.0" customHeight="1">
      <c r="A26" s="32"/>
      <c r="B26" s="33" t="s">
        <v>941</v>
      </c>
      <c r="C26" s="34" t="s">
        <v>983</v>
      </c>
      <c r="D26" s="32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8:8" ht="25.0" customHeight="1">
      <c r="A27" s="32"/>
      <c r="B27" s="33" t="s">
        <v>943</v>
      </c>
      <c r="C27" s="34" t="s">
        <v>984</v>
      </c>
      <c r="D27" s="32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8:8" ht="25.0" customHeight="1">
      <c r="A28" s="32"/>
      <c r="B28" s="33" t="s">
        <v>945</v>
      </c>
      <c r="C28" s="34" t="s">
        <v>985</v>
      </c>
      <c r="D28" s="32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8:8" ht="18.0" customHeight="1">
      <c r="A29" s="36"/>
      <c r="B29" s="36"/>
      <c r="C29" s="37" t="s">
        <v>986</v>
      </c>
      <c r="D29" s="38">
        <v>40.0</v>
      </c>
      <c r="E29" s="39" t="str">
        <f>IF((IF(ISNUMBER(E5),10,0)+IF(ISNUMBER(E11),10,0)+IF(ISNUMBER(E17),10,0)+IF(ISNUMBER(E23),10,0))=0,"",(IF(ISNUMBER(E5),E5*10,0)+IF(ISNUMBER(E11),E11*10,0)+IF(ISNUMBER(E17),E17*10,0)+IF(ISNUMBER(E23),E23*10,0))/(IF(ISNUMBER(E5),10,0)+IF(ISNUMBER(E11),10,0)+IF(ISNUMBER(E17),10,0)+IF(ISNUMBER(E23),10,0)))</f>
        <v/>
      </c>
      <c r="F29" s="39" t="str">
        <f>IF((IF(ISNUMBER(F5),10,0)+IF(ISNUMBER(F11),10,0)+IF(ISNUMBER(F17),10,0)+IF(ISNUMBER(F23),10,0))=0,"",(IF(ISNUMBER(F5),F5*10,0)+IF(ISNUMBER(F11),F11*10,0)+IF(ISNUMBER(F17),F17*10,0)+IF(ISNUMBER(F23),F23*10,0))/(IF(ISNUMBER(F5),10,0)+IF(ISNUMBER(F11),10,0)+IF(ISNUMBER(F17),10,0)+IF(ISNUMBER(F23),10,0)))</f>
        <v/>
      </c>
      <c r="G29" s="39" t="str">
        <f>IF((IF(ISNUMBER(G5),10,0)+IF(ISNUMBER(G11),10,0)+IF(ISNUMBER(G17),10,0)+IF(ISNUMBER(G23),10,0))=0,"",(IF(ISNUMBER(G5),G5*10,0)+IF(ISNUMBER(G11),G11*10,0)+IF(ISNUMBER(G17),G17*10,0)+IF(ISNUMBER(G23),G23*10,0))/(IF(ISNUMBER(G5),10,0)+IF(ISNUMBER(G11),10,0)+IF(ISNUMBER(G17),10,0)+IF(ISNUMBER(G23),10,0)))</f>
        <v/>
      </c>
      <c r="H29" s="39" t="str">
        <f>IF((IF(ISNUMBER(H5),10,0)+IF(ISNUMBER(H11),10,0)+IF(ISNUMBER(H17),10,0)+IF(ISNUMBER(H23),10,0))=0,"",(IF(ISNUMBER(H5),H5*10,0)+IF(ISNUMBER(H11),H11*10,0)+IF(ISNUMBER(H17),H17*10,0)+IF(ISNUMBER(H23),H23*10,0))/(IF(ISNUMBER(H5),10,0)+IF(ISNUMBER(H11),10,0)+IF(ISNUMBER(H17),10,0)+IF(ISNUMBER(H23),10,0)))</f>
        <v/>
      </c>
      <c r="I29" s="39" t="str">
        <f>IF((IF(ISNUMBER(I5),10,0)+IF(ISNUMBER(I11),10,0)+IF(ISNUMBER(I17),10,0)+IF(ISNUMBER(I23),10,0))=0,"",(IF(ISNUMBER(I5),I5*10,0)+IF(ISNUMBER(I11),I11*10,0)+IF(ISNUMBER(I17),I17*10,0)+IF(ISNUMBER(I23),I23*10,0))/(IF(ISNUMBER(I5),10,0)+IF(ISNUMBER(I11),10,0)+IF(ISNUMBER(I17),10,0)+IF(ISNUMBER(I23),10,0)))</f>
        <v/>
      </c>
      <c r="J29" s="39" t="str">
        <f>IF((IF(ISNUMBER(J5),10,0)+IF(ISNUMBER(J11),10,0)+IF(ISNUMBER(J17),10,0)+IF(ISNUMBER(J23),10,0))=0,"",(IF(ISNUMBER(J5),J5*10,0)+IF(ISNUMBER(J11),J11*10,0)+IF(ISNUMBER(J17),J17*10,0)+IF(ISNUMBER(J23),J23*10,0))/(IF(ISNUMBER(J5),10,0)+IF(ISNUMBER(J11),10,0)+IF(ISNUMBER(J17),10,0)+IF(ISNUMBER(J23),10,0)))</f>
        <v/>
      </c>
      <c r="K29" s="39" t="str">
        <f>IF((IF(ISNUMBER(K5),10,0)+IF(ISNUMBER(K11),10,0)+IF(ISNUMBER(K17),10,0)+IF(ISNUMBER(K23),10,0))=0,"",(IF(ISNUMBER(K5),K5*10,0)+IF(ISNUMBER(K11),K11*10,0)+IF(ISNUMBER(K17),K17*10,0)+IF(ISNUMBER(K23),K23*10,0))/(IF(ISNUMBER(K5),10,0)+IF(ISNUMBER(K11),10,0)+IF(ISNUMBER(K17),10,0)+IF(ISNUMBER(K23),10,0)))</f>
        <v/>
      </c>
      <c r="L29" s="39" t="str">
        <f>IF((IF(ISNUMBER(L5),10,0)+IF(ISNUMBER(L11),10,0)+IF(ISNUMBER(L17),10,0)+IF(ISNUMBER(L23),10,0))=0,"",(IF(ISNUMBER(L5),L5*10,0)+IF(ISNUMBER(L11),L11*10,0)+IF(ISNUMBER(L17),L17*10,0)+IF(ISNUMBER(L23),L23*10,0))/(IF(ISNUMBER(L5),10,0)+IF(ISNUMBER(L11),10,0)+IF(ISNUMBER(L17),10,0)+IF(ISNUMBER(L23),10,0)))</f>
        <v/>
      </c>
      <c r="M29" s="39" t="str">
        <f>IF((IF(ISNUMBER(M5),10,0)+IF(ISNUMBER(M11),10,0)+IF(ISNUMBER(M17),10,0)+IF(ISNUMBER(M23),10,0))=0,"",(IF(ISNUMBER(M5),M5*10,0)+IF(ISNUMBER(M11),M11*10,0)+IF(ISNUMBER(M17),M17*10,0)+IF(ISNUMBER(M23),M23*10,0))/(IF(ISNUMBER(M5),10,0)+IF(ISNUMBER(M11),10,0)+IF(ISNUMBER(M17),10,0)+IF(ISNUMBER(M23),10,0)))</f>
        <v/>
      </c>
      <c r="N29" s="39" t="str">
        <f>IF((IF(ISNUMBER(N5),10,0)+IF(ISNUMBER(N11),10,0)+IF(ISNUMBER(N17),10,0)+IF(ISNUMBER(N23),10,0))=0,"",(IF(ISNUMBER(N5),N5*10,0)+IF(ISNUMBER(N11),N11*10,0)+IF(ISNUMBER(N17),N17*10,0)+IF(ISNUMBER(N23),N23*10,0))/(IF(ISNUMBER(N5),10,0)+IF(ISNUMBER(N11),10,0)+IF(ISNUMBER(N17),10,0)+IF(ISNUMBER(N23),10,0)))</f>
        <v/>
      </c>
      <c r="O29" s="39" t="str">
        <f>IF((IF(ISNUMBER(O5),10,0)+IF(ISNUMBER(O11),10,0)+IF(ISNUMBER(O17),10,0)+IF(ISNUMBER(O23),10,0))=0,"",(IF(ISNUMBER(O5),O5*10,0)+IF(ISNUMBER(O11),O11*10,0)+IF(ISNUMBER(O17),O17*10,0)+IF(ISNUMBER(O23),O23*10,0))/(IF(ISNUMBER(O5),10,0)+IF(ISNUMBER(O11),10,0)+IF(ISNUMBER(O17),10,0)+IF(ISNUMBER(O23),10,0)))</f>
        <v/>
      </c>
      <c r="P29" s="39" t="str">
        <f>IF((IF(ISNUMBER(P5),10,0)+IF(ISNUMBER(P11),10,0)+IF(ISNUMBER(P17),10,0)+IF(ISNUMBER(P23),10,0))=0,"",(IF(ISNUMBER(P5),P5*10,0)+IF(ISNUMBER(P11),P11*10,0)+IF(ISNUMBER(P17),P17*10,0)+IF(ISNUMBER(P23),P23*10,0))/(IF(ISNUMBER(P5),10,0)+IF(ISNUMBER(P11),10,0)+IF(ISNUMBER(P17),10,0)+IF(ISNUMBER(P23),10,0)))</f>
        <v/>
      </c>
      <c r="Q29" s="39" t="str">
        <f>IF((IF(ISNUMBER(Q5),10,0)+IF(ISNUMBER(Q11),10,0)+IF(ISNUMBER(Q17),10,0)+IF(ISNUMBER(Q23),10,0))=0,"",(IF(ISNUMBER(Q5),Q5*10,0)+IF(ISNUMBER(Q11),Q11*10,0)+IF(ISNUMBER(Q17),Q17*10,0)+IF(ISNUMBER(Q23),Q23*10,0))/(IF(ISNUMBER(Q5),10,0)+IF(ISNUMBER(Q11),10,0)+IF(ISNUMBER(Q17),10,0)+IF(ISNUMBER(Q23),10,0)))</f>
        <v/>
      </c>
      <c r="R29" s="39" t="str">
        <f>IF((IF(ISNUMBER(R5),10,0)+IF(ISNUMBER(R11),10,0)+IF(ISNUMBER(R17),10,0)+IF(ISNUMBER(R23),10,0))=0,"",(IF(ISNUMBER(R5),R5*10,0)+IF(ISNUMBER(R11),R11*10,0)+IF(ISNUMBER(R17),R17*10,0)+IF(ISNUMBER(R23),R23*10,0))/(IF(ISNUMBER(R5),10,0)+IF(ISNUMBER(R11),10,0)+IF(ISNUMBER(R17),10,0)+IF(ISNUMBER(R23),10,0)))</f>
        <v/>
      </c>
      <c r="S29" s="39" t="str">
        <f>IF((IF(ISNUMBER(S5),10,0)+IF(ISNUMBER(S11),10,0)+IF(ISNUMBER(S17),10,0)+IF(ISNUMBER(S23),10,0))=0,"",(IF(ISNUMBER(S5),S5*10,0)+IF(ISNUMBER(S11),S11*10,0)+IF(ISNUMBER(S17),S17*10,0)+IF(ISNUMBER(S23),S23*10,0))/(IF(ISNUMBER(S5),10,0)+IF(ISNUMBER(S11),10,0)+IF(ISNUMBER(S17),10,0)+IF(ISNUMBER(S23),10,0)))</f>
        <v/>
      </c>
      <c r="T29" s="39" t="str">
        <f>IF((IF(ISNUMBER(T5),10,0)+IF(ISNUMBER(T11),10,0)+IF(ISNUMBER(T17),10,0)+IF(ISNUMBER(T23),10,0))=0,"",(IF(ISNUMBER(T5),T5*10,0)+IF(ISNUMBER(T11),T11*10,0)+IF(ISNUMBER(T17),T17*10,0)+IF(ISNUMBER(T23),T23*10,0))/(IF(ISNUMBER(T5),10,0)+IF(ISNUMBER(T11),10,0)+IF(ISNUMBER(T17),10,0)+IF(ISNUMBER(T23),10,0)))</f>
        <v/>
      </c>
      <c r="U29" s="39" t="str">
        <f>IF((IF(ISNUMBER(U5),10,0)+IF(ISNUMBER(U11),10,0)+IF(ISNUMBER(U17),10,0)+IF(ISNUMBER(U23),10,0))=0,"",(IF(ISNUMBER(U5),U5*10,0)+IF(ISNUMBER(U11),U11*10,0)+IF(ISNUMBER(U17),U17*10,0)+IF(ISNUMBER(U23),U23*10,0))/(IF(ISNUMBER(U5),10,0)+IF(ISNUMBER(U11),10,0)+IF(ISNUMBER(U17),10,0)+IF(ISNUMBER(U23),10,0)))</f>
        <v/>
      </c>
      <c r="V29" s="39" t="str">
        <f>IF((IF(ISNUMBER(V5),10,0)+IF(ISNUMBER(V11),10,0)+IF(ISNUMBER(V17),10,0)+IF(ISNUMBER(V23),10,0))=0,"",(IF(ISNUMBER(V5),V5*10,0)+IF(ISNUMBER(V11),V11*10,0)+IF(ISNUMBER(V17),V17*10,0)+IF(ISNUMBER(V23),V23*10,0))/(IF(ISNUMBER(V5),10,0)+IF(ISNUMBER(V11),10,0)+IF(ISNUMBER(V17),10,0)+IF(ISNUMBER(V23),10,0)))</f>
        <v/>
      </c>
      <c r="W29" s="39" t="str">
        <f>IF((IF(ISNUMBER(W5),10,0)+IF(ISNUMBER(W11),10,0)+IF(ISNUMBER(W17),10,0)+IF(ISNUMBER(W23),10,0))=0,"",(IF(ISNUMBER(W5),W5*10,0)+IF(ISNUMBER(W11),W11*10,0)+IF(ISNUMBER(W17),W17*10,0)+IF(ISNUMBER(W23),W23*10,0))/(IF(ISNUMBER(W5),10,0)+IF(ISNUMBER(W11),10,0)+IF(ISNUMBER(W17),10,0)+IF(ISNUMBER(W23),10,0)))</f>
        <v/>
      </c>
      <c r="X29" s="39" t="str">
        <f>IF((IF(ISNUMBER(X5),10,0)+IF(ISNUMBER(X11),10,0)+IF(ISNUMBER(X17),10,0)+IF(ISNUMBER(X23),10,0))=0,"",(IF(ISNUMBER(X5),X5*10,0)+IF(ISNUMBER(X11),X11*10,0)+IF(ISNUMBER(X17),X17*10,0)+IF(ISNUMBER(X23),X23*10,0))/(IF(ISNUMBER(X5),10,0)+IF(ISNUMBER(X11),10,0)+IF(ISNUMBER(X17),10,0)+IF(ISNUMBER(X23),10,0)))</f>
        <v/>
      </c>
      <c r="Y29" s="39" t="str">
        <f>IF((IF(ISNUMBER(Y5),10,0)+IF(ISNUMBER(Y11),10,0)+IF(ISNUMBER(Y17),10,0)+IF(ISNUMBER(Y23),10,0))=0,"",(IF(ISNUMBER(Y5),Y5*10,0)+IF(ISNUMBER(Y11),Y11*10,0)+IF(ISNUMBER(Y17),Y17*10,0)+IF(ISNUMBER(Y23),Y23*10,0))/(IF(ISNUMBER(Y5),10,0)+IF(ISNUMBER(Y11),10,0)+IF(ISNUMBER(Y17),10,0)+IF(ISNUMBER(Y23),10,0)))</f>
        <v/>
      </c>
      <c r="Z29" s="39" t="str">
        <f>_xlfn.IFERROR(AVERAGE(E29:Y29),"")</f>
        <v/>
      </c>
    </row>
    <row r="30" spans="8:8" ht="20.0" customHeight="1">
      <c r="A30" s="18" t="s">
        <v>987</v>
      </c>
    </row>
    <row r="31" spans="8:8" ht="40.0" customHeight="1">
      <c r="A31" s="28"/>
      <c r="B31" s="29" t="s">
        <v>16</v>
      </c>
      <c r="C31" s="30" t="s">
        <v>988</v>
      </c>
      <c r="D31" s="29">
        <v>10.0</v>
      </c>
      <c r="E31" s="31" t="str">
        <f>IF(COUNTA(E32:E36)=0,"",COUNTIF(E32:E36,"Ya")/5*100)</f>
        <v/>
      </c>
      <c r="F31" s="31" t="str">
        <f>IF(COUNTA(F32:F36)=0,"",COUNTIF(F32:F36,"Ya")/5*100)</f>
        <v/>
      </c>
      <c r="G31" s="31" t="str">
        <f>IF(COUNTA(G32:G36)=0,"",COUNTIF(G32:G36,"Ya")/5*100)</f>
        <v/>
      </c>
      <c r="H31" s="31" t="str">
        <f>IF(COUNTA(H32:H36)=0,"",COUNTIF(H32:H36,"Ya")/5*100)</f>
        <v/>
      </c>
      <c r="I31" s="31" t="str">
        <f>IF(COUNTA(I32:I36)=0,"",COUNTIF(I32:I36,"Ya")/5*100)</f>
        <v/>
      </c>
      <c r="J31" s="31" t="str">
        <f>IF(COUNTA(J32:J36)=0,"",COUNTIF(J32:J36,"Ya")/5*100)</f>
        <v/>
      </c>
      <c r="K31" s="31" t="str">
        <f>IF(COUNTA(K32:K36)=0,"",COUNTIF(K32:K36,"Ya")/5*100)</f>
        <v/>
      </c>
      <c r="L31" s="31" t="str">
        <f>IF(COUNTA(L32:L36)=0,"",COUNTIF(L32:L36,"Ya")/5*100)</f>
        <v/>
      </c>
      <c r="M31" s="31" t="str">
        <f>IF(COUNTA(M32:M36)=0,"",COUNTIF(M32:M36,"Ya")/5*100)</f>
        <v/>
      </c>
      <c r="N31" s="31" t="str">
        <f>IF(COUNTA(N32:N36)=0,"",COUNTIF(N32:N36,"Ya")/5*100)</f>
        <v/>
      </c>
      <c r="O31" s="31" t="str">
        <f>IF(COUNTA(O32:O36)=0,"",COUNTIF(O32:O36,"Ya")/5*100)</f>
        <v/>
      </c>
      <c r="P31" s="31" t="str">
        <f>IF(COUNTA(P32:P36)=0,"",COUNTIF(P32:P36,"Ya")/5*100)</f>
        <v/>
      </c>
      <c r="Q31" s="31" t="str">
        <f>IF(COUNTA(Q32:Q36)=0,"",COUNTIF(Q32:Q36,"Ya")/5*100)</f>
        <v/>
      </c>
      <c r="R31" s="31" t="str">
        <f>IF(COUNTA(R32:R36)=0,"",COUNTIF(R32:R36,"Ya")/5*100)</f>
        <v/>
      </c>
      <c r="S31" s="31" t="str">
        <f>IF(COUNTA(S32:S36)=0,"",COUNTIF(S32:S36,"Ya")/5*100)</f>
        <v/>
      </c>
      <c r="T31" s="31" t="str">
        <f>IF(COUNTA(T32:T36)=0,"",COUNTIF(T32:T36,"Ya")/5*100)</f>
        <v/>
      </c>
      <c r="U31" s="31" t="str">
        <f>IF(COUNTA(U32:U36)=0,"",COUNTIF(U32:U36,"Ya")/5*100)</f>
        <v/>
      </c>
      <c r="V31" s="31" t="str">
        <f>IF(COUNTA(V32:V36)=0,"",COUNTIF(V32:V36,"Ya")/5*100)</f>
        <v/>
      </c>
      <c r="W31" s="31" t="str">
        <f>IF(COUNTA(W32:W36)=0,"",COUNTIF(W32:W36,"Ya")/5*100)</f>
        <v/>
      </c>
      <c r="X31" s="31" t="str">
        <f>IF(COUNTA(X32:X36)=0,"",COUNTIF(X32:X36,"Ya")/5*100)</f>
        <v/>
      </c>
      <c r="Y31" s="31" t="str">
        <f>IF(COUNTA(Y32:Y36)=0,"",COUNTIF(Y32:Y36,"Ya")/5*100)</f>
        <v/>
      </c>
      <c r="Z31" s="31" t="str">
        <f>_xlfn.IFERROR(AVERAGE(E31:Y31),"")</f>
        <v/>
      </c>
    </row>
    <row r="32" spans="8:8" ht="25.0" customHeight="1">
      <c r="A32" s="32"/>
      <c r="B32" s="33" t="s">
        <v>948</v>
      </c>
      <c r="C32" s="34" t="s">
        <v>989</v>
      </c>
      <c r="D32" s="32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8:8" ht="14.0" customHeight="1">
      <c r="A33" s="32"/>
      <c r="B33" s="33" t="s">
        <v>950</v>
      </c>
      <c r="C33" s="34" t="s">
        <v>990</v>
      </c>
      <c r="D33" s="32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8:8" ht="25.0" customHeight="1">
      <c r="A34" s="32"/>
      <c r="B34" s="33" t="s">
        <v>952</v>
      </c>
      <c r="C34" s="34" t="s">
        <v>991</v>
      </c>
      <c r="D34" s="32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8:8" ht="25.0" customHeight="1">
      <c r="A35" s="32"/>
      <c r="B35" s="33" t="s">
        <v>954</v>
      </c>
      <c r="C35" s="34" t="s">
        <v>992</v>
      </c>
      <c r="D35" s="32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8:8" ht="25.0" customHeight="1">
      <c r="A36" s="32"/>
      <c r="B36" s="33" t="s">
        <v>956</v>
      </c>
      <c r="C36" s="34" t="s">
        <v>993</v>
      </c>
      <c r="D36" s="32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8:8" ht="40.0" customHeight="1">
      <c r="A37" s="28"/>
      <c r="B37" s="29" t="s">
        <v>17</v>
      </c>
      <c r="C37" s="30" t="s">
        <v>994</v>
      </c>
      <c r="D37" s="29">
        <v>10.0</v>
      </c>
      <c r="E37" s="31" t="str">
        <f>IF(COUNTA(E38:E42)=0,"",COUNTIF(E38:E42,"Ya")/5*100)</f>
        <v/>
      </c>
      <c r="F37" s="31" t="str">
        <f>IF(COUNTA(F38:F42)=0,"",COUNTIF(F38:F42,"Ya")/5*100)</f>
        <v/>
      </c>
      <c r="G37" s="31" t="str">
        <f>IF(COUNTA(G38:G42)=0,"",COUNTIF(G38:G42,"Ya")/5*100)</f>
        <v/>
      </c>
      <c r="H37" s="31" t="str">
        <f>IF(COUNTA(H38:H42)=0,"",COUNTIF(H38:H42,"Ya")/5*100)</f>
        <v/>
      </c>
      <c r="I37" s="31" t="str">
        <f>IF(COUNTA(I38:I42)=0,"",COUNTIF(I38:I42,"Ya")/5*100)</f>
        <v/>
      </c>
      <c r="J37" s="31" t="str">
        <f>IF(COUNTA(J38:J42)=0,"",COUNTIF(J38:J42,"Ya")/5*100)</f>
        <v/>
      </c>
      <c r="K37" s="31" t="str">
        <f>IF(COUNTA(K38:K42)=0,"",COUNTIF(K38:K42,"Ya")/5*100)</f>
        <v/>
      </c>
      <c r="L37" s="31" t="str">
        <f>IF(COUNTA(L38:L42)=0,"",COUNTIF(L38:L42,"Ya")/5*100)</f>
        <v/>
      </c>
      <c r="M37" s="31" t="str">
        <f>IF(COUNTA(M38:M42)=0,"",COUNTIF(M38:M42,"Ya")/5*100)</f>
        <v/>
      </c>
      <c r="N37" s="31" t="str">
        <f>IF(COUNTA(N38:N42)=0,"",COUNTIF(N38:N42,"Ya")/5*100)</f>
        <v/>
      </c>
      <c r="O37" s="31" t="str">
        <f>IF(COUNTA(O38:O42)=0,"",COUNTIF(O38:O42,"Ya")/5*100)</f>
        <v/>
      </c>
      <c r="P37" s="31" t="str">
        <f>IF(COUNTA(P38:P42)=0,"",COUNTIF(P38:P42,"Ya")/5*100)</f>
        <v/>
      </c>
      <c r="Q37" s="31" t="str">
        <f>IF(COUNTA(Q38:Q42)=0,"",COUNTIF(Q38:Q42,"Ya")/5*100)</f>
        <v/>
      </c>
      <c r="R37" s="31" t="str">
        <f>IF(COUNTA(R38:R42)=0,"",COUNTIF(R38:R42,"Ya")/5*100)</f>
        <v/>
      </c>
      <c r="S37" s="31" t="str">
        <f>IF(COUNTA(S38:S42)=0,"",COUNTIF(S38:S42,"Ya")/5*100)</f>
        <v/>
      </c>
      <c r="T37" s="31" t="str">
        <f>IF(COUNTA(T38:T42)=0,"",COUNTIF(T38:T42,"Ya")/5*100)</f>
        <v/>
      </c>
      <c r="U37" s="31" t="str">
        <f>IF(COUNTA(U38:U42)=0,"",COUNTIF(U38:U42,"Ya")/5*100)</f>
        <v/>
      </c>
      <c r="V37" s="31" t="str">
        <f>IF(COUNTA(V38:V42)=0,"",COUNTIF(V38:V42,"Ya")/5*100)</f>
        <v/>
      </c>
      <c r="W37" s="31" t="str">
        <f>IF(COUNTA(W38:W42)=0,"",COUNTIF(W38:W42,"Ya")/5*100)</f>
        <v/>
      </c>
      <c r="X37" s="31" t="str">
        <f>IF(COUNTA(X38:X42)=0,"",COUNTIF(X38:X42,"Ya")/5*100)</f>
        <v/>
      </c>
      <c r="Y37" s="31" t="str">
        <f>IF(COUNTA(Y38:Y42)=0,"",COUNTIF(Y38:Y42,"Ya")/5*100)</f>
        <v/>
      </c>
      <c r="Z37" s="31" t="str">
        <f>_xlfn.IFERROR(AVERAGE(E37:Y37),"")</f>
        <v/>
      </c>
    </row>
    <row r="38" spans="8:8" ht="14.0" customHeight="1">
      <c r="A38" s="32"/>
      <c r="B38" s="33" t="s">
        <v>995</v>
      </c>
      <c r="C38" s="34" t="s">
        <v>996</v>
      </c>
      <c r="D38" s="32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8:8" ht="25.0" customHeight="1">
      <c r="A39" s="32"/>
      <c r="B39" s="33" t="s">
        <v>997</v>
      </c>
      <c r="C39" s="34" t="s">
        <v>998</v>
      </c>
      <c r="D39" s="32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8:8" ht="25.0" customHeight="1">
      <c r="A40" s="32"/>
      <c r="B40" s="33" t="s">
        <v>999</v>
      </c>
      <c r="C40" s="34" t="s">
        <v>1000</v>
      </c>
      <c r="D40" s="32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8:8" ht="25.0" customHeight="1">
      <c r="A41" s="32"/>
      <c r="B41" s="33" t="s">
        <v>1001</v>
      </c>
      <c r="C41" s="34" t="s">
        <v>1002</v>
      </c>
      <c r="D41" s="32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8:8" ht="25.0" customHeight="1">
      <c r="A42" s="32"/>
      <c r="B42" s="33" t="s">
        <v>1003</v>
      </c>
      <c r="C42" s="34" t="s">
        <v>1004</v>
      </c>
      <c r="D42" s="32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8:8" ht="40.0" customHeight="1">
      <c r="A43" s="28"/>
      <c r="B43" s="29" t="s">
        <v>18</v>
      </c>
      <c r="C43" s="30" t="s">
        <v>1005</v>
      </c>
      <c r="D43" s="29">
        <v>10.0</v>
      </c>
      <c r="E43" s="31" t="str">
        <f>IF(COUNTA(E44:E48)=0,"",COUNTIF(E44:E48,"Ya")/5*100)</f>
        <v/>
      </c>
      <c r="F43" s="31" t="str">
        <f>IF(COUNTA(F44:F48)=0,"",COUNTIF(F44:F48,"Ya")/5*100)</f>
        <v/>
      </c>
      <c r="G43" s="31" t="str">
        <f>IF(COUNTA(G44:G48)=0,"",COUNTIF(G44:G48,"Ya")/5*100)</f>
        <v/>
      </c>
      <c r="H43" s="31" t="str">
        <f>IF(COUNTA(H44:H48)=0,"",COUNTIF(H44:H48,"Ya")/5*100)</f>
        <v/>
      </c>
      <c r="I43" s="31" t="str">
        <f>IF(COUNTA(I44:I48)=0,"",COUNTIF(I44:I48,"Ya")/5*100)</f>
        <v/>
      </c>
      <c r="J43" s="31" t="str">
        <f>IF(COUNTA(J44:J48)=0,"",COUNTIF(J44:J48,"Ya")/5*100)</f>
        <v/>
      </c>
      <c r="K43" s="31" t="str">
        <f>IF(COUNTA(K44:K48)=0,"",COUNTIF(K44:K48,"Ya")/5*100)</f>
        <v/>
      </c>
      <c r="L43" s="31" t="str">
        <f>IF(COUNTA(L44:L48)=0,"",COUNTIF(L44:L48,"Ya")/5*100)</f>
        <v/>
      </c>
      <c r="M43" s="31" t="str">
        <f>IF(COUNTA(M44:M48)=0,"",COUNTIF(M44:M48,"Ya")/5*100)</f>
        <v/>
      </c>
      <c r="N43" s="31" t="str">
        <f>IF(COUNTA(N44:N48)=0,"",COUNTIF(N44:N48,"Ya")/5*100)</f>
        <v/>
      </c>
      <c r="O43" s="31" t="str">
        <f>IF(COUNTA(O44:O48)=0,"",COUNTIF(O44:O48,"Ya")/5*100)</f>
        <v/>
      </c>
      <c r="P43" s="31" t="str">
        <f>IF(COUNTA(P44:P48)=0,"",COUNTIF(P44:P48,"Ya")/5*100)</f>
        <v/>
      </c>
      <c r="Q43" s="31" t="str">
        <f>IF(COUNTA(Q44:Q48)=0,"",COUNTIF(Q44:Q48,"Ya")/5*100)</f>
        <v/>
      </c>
      <c r="R43" s="31" t="str">
        <f>IF(COUNTA(R44:R48)=0,"",COUNTIF(R44:R48,"Ya")/5*100)</f>
        <v/>
      </c>
      <c r="S43" s="31" t="str">
        <f>IF(COUNTA(S44:S48)=0,"",COUNTIF(S44:S48,"Ya")/5*100)</f>
        <v/>
      </c>
      <c r="T43" s="31" t="str">
        <f>IF(COUNTA(T44:T48)=0,"",COUNTIF(T44:T48,"Ya")/5*100)</f>
        <v/>
      </c>
      <c r="U43" s="31" t="str">
        <f>IF(COUNTA(U44:U48)=0,"",COUNTIF(U44:U48,"Ya")/5*100)</f>
        <v/>
      </c>
      <c r="V43" s="31" t="str">
        <f>IF(COUNTA(V44:V48)=0,"",COUNTIF(V44:V48,"Ya")/5*100)</f>
        <v/>
      </c>
      <c r="W43" s="31" t="str">
        <f>IF(COUNTA(W44:W48)=0,"",COUNTIF(W44:W48,"Ya")/5*100)</f>
        <v/>
      </c>
      <c r="X43" s="31" t="str">
        <f>IF(COUNTA(X44:X48)=0,"",COUNTIF(X44:X48,"Ya")/5*100)</f>
        <v/>
      </c>
      <c r="Y43" s="31" t="str">
        <f>IF(COUNTA(Y44:Y48)=0,"",COUNTIF(Y44:Y48,"Ya")/5*100)</f>
        <v/>
      </c>
      <c r="Z43" s="31" t="str">
        <f>_xlfn.IFERROR(AVERAGE(E43:Y43),"")</f>
        <v/>
      </c>
    </row>
    <row r="44" spans="8:8" ht="25.0" customHeight="1">
      <c r="A44" s="32"/>
      <c r="B44" s="33" t="s">
        <v>1006</v>
      </c>
      <c r="C44" s="34" t="s">
        <v>1007</v>
      </c>
      <c r="D44" s="32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8:8" ht="25.0" customHeight="1">
      <c r="A45" s="32"/>
      <c r="B45" s="33" t="s">
        <v>1008</v>
      </c>
      <c r="C45" s="34" t="s">
        <v>1009</v>
      </c>
      <c r="D45" s="32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8:8" ht="25.0" customHeight="1">
      <c r="A46" s="32"/>
      <c r="B46" s="33" t="s">
        <v>1010</v>
      </c>
      <c r="C46" s="34" t="s">
        <v>1011</v>
      </c>
      <c r="D46" s="32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8:8" ht="14.0" customHeight="1">
      <c r="A47" s="32"/>
      <c r="B47" s="33" t="s">
        <v>1012</v>
      </c>
      <c r="C47" s="34" t="s">
        <v>1013</v>
      </c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8:8" ht="25.0" customHeight="1">
      <c r="A48" s="32"/>
      <c r="B48" s="33" t="s">
        <v>1014</v>
      </c>
      <c r="C48" s="34" t="s">
        <v>1015</v>
      </c>
      <c r="D48" s="32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8:8" ht="18.0" customHeight="1">
      <c r="A49" s="36"/>
      <c r="B49" s="36"/>
      <c r="C49" s="37" t="s">
        <v>1016</v>
      </c>
      <c r="D49" s="38">
        <v>30.0</v>
      </c>
      <c r="E49" s="39" t="str">
        <f>IF((IF(ISNUMBER(E31),10,0)+IF(ISNUMBER(E37),10,0)+IF(ISNUMBER(E43),10,0))=0,"",(IF(ISNUMBER(E31),E31*10,0)+IF(ISNUMBER(E37),E37*10,0)+IF(ISNUMBER(E43),E43*10,0))/(IF(ISNUMBER(E31),10,0)+IF(ISNUMBER(E37),10,0)+IF(ISNUMBER(E43),10,0)))</f>
        <v/>
      </c>
      <c r="F49" s="39" t="str">
        <f>IF((IF(ISNUMBER(F31),10,0)+IF(ISNUMBER(F37),10,0)+IF(ISNUMBER(F43),10,0))=0,"",(IF(ISNUMBER(F31),F31*10,0)+IF(ISNUMBER(F37),F37*10,0)+IF(ISNUMBER(F43),F43*10,0))/(IF(ISNUMBER(F31),10,0)+IF(ISNUMBER(F37),10,0)+IF(ISNUMBER(F43),10,0)))</f>
        <v/>
      </c>
      <c r="G49" s="39" t="str">
        <f>IF((IF(ISNUMBER(G31),10,0)+IF(ISNUMBER(G37),10,0)+IF(ISNUMBER(G43),10,0))=0,"",(IF(ISNUMBER(G31),G31*10,0)+IF(ISNUMBER(G37),G37*10,0)+IF(ISNUMBER(G43),G43*10,0))/(IF(ISNUMBER(G31),10,0)+IF(ISNUMBER(G37),10,0)+IF(ISNUMBER(G43),10,0)))</f>
        <v/>
      </c>
      <c r="H49" s="39" t="str">
        <f>IF((IF(ISNUMBER(H31),10,0)+IF(ISNUMBER(H37),10,0)+IF(ISNUMBER(H43),10,0))=0,"",(IF(ISNUMBER(H31),H31*10,0)+IF(ISNUMBER(H37),H37*10,0)+IF(ISNUMBER(H43),H43*10,0))/(IF(ISNUMBER(H31),10,0)+IF(ISNUMBER(H37),10,0)+IF(ISNUMBER(H43),10,0)))</f>
        <v/>
      </c>
      <c r="I49" s="39" t="str">
        <f>IF((IF(ISNUMBER(I31),10,0)+IF(ISNUMBER(I37),10,0)+IF(ISNUMBER(I43),10,0))=0,"",(IF(ISNUMBER(I31),I31*10,0)+IF(ISNUMBER(I37),I37*10,0)+IF(ISNUMBER(I43),I43*10,0))/(IF(ISNUMBER(I31),10,0)+IF(ISNUMBER(I37),10,0)+IF(ISNUMBER(I43),10,0)))</f>
        <v/>
      </c>
      <c r="J49" s="39" t="str">
        <f>IF((IF(ISNUMBER(J31),10,0)+IF(ISNUMBER(J37),10,0)+IF(ISNUMBER(J43),10,0))=0,"",(IF(ISNUMBER(J31),J31*10,0)+IF(ISNUMBER(J37),J37*10,0)+IF(ISNUMBER(J43),J43*10,0))/(IF(ISNUMBER(J31),10,0)+IF(ISNUMBER(J37),10,0)+IF(ISNUMBER(J43),10,0)))</f>
        <v/>
      </c>
      <c r="K49" s="39" t="str">
        <f>IF((IF(ISNUMBER(K31),10,0)+IF(ISNUMBER(K37),10,0)+IF(ISNUMBER(K43),10,0))=0,"",(IF(ISNUMBER(K31),K31*10,0)+IF(ISNUMBER(K37),K37*10,0)+IF(ISNUMBER(K43),K43*10,0))/(IF(ISNUMBER(K31),10,0)+IF(ISNUMBER(K37),10,0)+IF(ISNUMBER(K43),10,0)))</f>
        <v/>
      </c>
      <c r="L49" s="39" t="str">
        <f>IF((IF(ISNUMBER(L31),10,0)+IF(ISNUMBER(L37),10,0)+IF(ISNUMBER(L43),10,0))=0,"",(IF(ISNUMBER(L31),L31*10,0)+IF(ISNUMBER(L37),L37*10,0)+IF(ISNUMBER(L43),L43*10,0))/(IF(ISNUMBER(L31),10,0)+IF(ISNUMBER(L37),10,0)+IF(ISNUMBER(L43),10,0)))</f>
        <v/>
      </c>
      <c r="M49" s="39" t="str">
        <f>IF((IF(ISNUMBER(M31),10,0)+IF(ISNUMBER(M37),10,0)+IF(ISNUMBER(M43),10,0))=0,"",(IF(ISNUMBER(M31),M31*10,0)+IF(ISNUMBER(M37),M37*10,0)+IF(ISNUMBER(M43),M43*10,0))/(IF(ISNUMBER(M31),10,0)+IF(ISNUMBER(M37),10,0)+IF(ISNUMBER(M43),10,0)))</f>
        <v/>
      </c>
      <c r="N49" s="39" t="str">
        <f>IF((IF(ISNUMBER(N31),10,0)+IF(ISNUMBER(N37),10,0)+IF(ISNUMBER(N43),10,0))=0,"",(IF(ISNUMBER(N31),N31*10,0)+IF(ISNUMBER(N37),N37*10,0)+IF(ISNUMBER(N43),N43*10,0))/(IF(ISNUMBER(N31),10,0)+IF(ISNUMBER(N37),10,0)+IF(ISNUMBER(N43),10,0)))</f>
        <v/>
      </c>
      <c r="O49" s="39" t="str">
        <f>IF((IF(ISNUMBER(O31),10,0)+IF(ISNUMBER(O37),10,0)+IF(ISNUMBER(O43),10,0))=0,"",(IF(ISNUMBER(O31),O31*10,0)+IF(ISNUMBER(O37),O37*10,0)+IF(ISNUMBER(O43),O43*10,0))/(IF(ISNUMBER(O31),10,0)+IF(ISNUMBER(O37),10,0)+IF(ISNUMBER(O43),10,0)))</f>
        <v/>
      </c>
      <c r="P49" s="39" t="str">
        <f>IF((IF(ISNUMBER(P31),10,0)+IF(ISNUMBER(P37),10,0)+IF(ISNUMBER(P43),10,0))=0,"",(IF(ISNUMBER(P31),P31*10,0)+IF(ISNUMBER(P37),P37*10,0)+IF(ISNUMBER(P43),P43*10,0))/(IF(ISNUMBER(P31),10,0)+IF(ISNUMBER(P37),10,0)+IF(ISNUMBER(P43),10,0)))</f>
        <v/>
      </c>
      <c r="Q49" s="39" t="str">
        <f>IF((IF(ISNUMBER(Q31),10,0)+IF(ISNUMBER(Q37),10,0)+IF(ISNUMBER(Q43),10,0))=0,"",(IF(ISNUMBER(Q31),Q31*10,0)+IF(ISNUMBER(Q37),Q37*10,0)+IF(ISNUMBER(Q43),Q43*10,0))/(IF(ISNUMBER(Q31),10,0)+IF(ISNUMBER(Q37),10,0)+IF(ISNUMBER(Q43),10,0)))</f>
        <v/>
      </c>
      <c r="R49" s="39" t="str">
        <f>IF((IF(ISNUMBER(R31),10,0)+IF(ISNUMBER(R37),10,0)+IF(ISNUMBER(R43),10,0))=0,"",(IF(ISNUMBER(R31),R31*10,0)+IF(ISNUMBER(R37),R37*10,0)+IF(ISNUMBER(R43),R43*10,0))/(IF(ISNUMBER(R31),10,0)+IF(ISNUMBER(R37),10,0)+IF(ISNUMBER(R43),10,0)))</f>
        <v/>
      </c>
      <c r="S49" s="39" t="str">
        <f>IF((IF(ISNUMBER(S31),10,0)+IF(ISNUMBER(S37),10,0)+IF(ISNUMBER(S43),10,0))=0,"",(IF(ISNUMBER(S31),S31*10,0)+IF(ISNUMBER(S37),S37*10,0)+IF(ISNUMBER(S43),S43*10,0))/(IF(ISNUMBER(S31),10,0)+IF(ISNUMBER(S37),10,0)+IF(ISNUMBER(S43),10,0)))</f>
        <v/>
      </c>
      <c r="T49" s="39" t="str">
        <f>IF((IF(ISNUMBER(T31),10,0)+IF(ISNUMBER(T37),10,0)+IF(ISNUMBER(T43),10,0))=0,"",(IF(ISNUMBER(T31),T31*10,0)+IF(ISNUMBER(T37),T37*10,0)+IF(ISNUMBER(T43),T43*10,0))/(IF(ISNUMBER(T31),10,0)+IF(ISNUMBER(T37),10,0)+IF(ISNUMBER(T43),10,0)))</f>
        <v/>
      </c>
      <c r="U49" s="39" t="str">
        <f>IF((IF(ISNUMBER(U31),10,0)+IF(ISNUMBER(U37),10,0)+IF(ISNUMBER(U43),10,0))=0,"",(IF(ISNUMBER(U31),U31*10,0)+IF(ISNUMBER(U37),U37*10,0)+IF(ISNUMBER(U43),U43*10,0))/(IF(ISNUMBER(U31),10,0)+IF(ISNUMBER(U37),10,0)+IF(ISNUMBER(U43),10,0)))</f>
        <v/>
      </c>
      <c r="V49" s="39" t="str">
        <f>IF((IF(ISNUMBER(V31),10,0)+IF(ISNUMBER(V37),10,0)+IF(ISNUMBER(V43),10,0))=0,"",(IF(ISNUMBER(V31),V31*10,0)+IF(ISNUMBER(V37),V37*10,0)+IF(ISNUMBER(V43),V43*10,0))/(IF(ISNUMBER(V31),10,0)+IF(ISNUMBER(V37),10,0)+IF(ISNUMBER(V43),10,0)))</f>
        <v/>
      </c>
      <c r="W49" s="39" t="str">
        <f>IF((IF(ISNUMBER(W31),10,0)+IF(ISNUMBER(W37),10,0)+IF(ISNUMBER(W43),10,0))=0,"",(IF(ISNUMBER(W31),W31*10,0)+IF(ISNUMBER(W37),W37*10,0)+IF(ISNUMBER(W43),W43*10,0))/(IF(ISNUMBER(W31),10,0)+IF(ISNUMBER(W37),10,0)+IF(ISNUMBER(W43),10,0)))</f>
        <v/>
      </c>
      <c r="X49" s="39" t="str">
        <f>IF((IF(ISNUMBER(X31),10,0)+IF(ISNUMBER(X37),10,0)+IF(ISNUMBER(X43),10,0))=0,"",(IF(ISNUMBER(X31),X31*10,0)+IF(ISNUMBER(X37),X37*10,0)+IF(ISNUMBER(X43),X43*10,0))/(IF(ISNUMBER(X31),10,0)+IF(ISNUMBER(X37),10,0)+IF(ISNUMBER(X43),10,0)))</f>
        <v/>
      </c>
      <c r="Y49" s="39" t="str">
        <f>IF((IF(ISNUMBER(Y31),10,0)+IF(ISNUMBER(Y37),10,0)+IF(ISNUMBER(Y43),10,0))=0,"",(IF(ISNUMBER(Y31),Y31*10,0)+IF(ISNUMBER(Y37),Y37*10,0)+IF(ISNUMBER(Y43),Y43*10,0))/(IF(ISNUMBER(Y31),10,0)+IF(ISNUMBER(Y37),10,0)+IF(ISNUMBER(Y43),10,0)))</f>
        <v/>
      </c>
      <c r="Z49" s="39" t="str">
        <f>_xlfn.IFERROR(AVERAGE(E49:Y49),"")</f>
        <v/>
      </c>
    </row>
    <row r="50" spans="8:8" ht="20.0" customHeight="1">
      <c r="A50" s="18" t="s">
        <v>1017</v>
      </c>
    </row>
    <row r="51" spans="8:8" ht="40.0" customHeight="1">
      <c r="A51" s="28"/>
      <c r="B51" s="29" t="s">
        <v>1018</v>
      </c>
      <c r="C51" s="30" t="s">
        <v>1019</v>
      </c>
      <c r="D51" s="29">
        <v>10.0</v>
      </c>
      <c r="E51" s="31" t="str">
        <f>IF(COUNTA(E52:E56)=0,"",COUNTIF(E52:E56,"Ya")/5*100)</f>
        <v/>
      </c>
      <c r="F51" s="31" t="str">
        <f>IF(COUNTA(F52:F56)=0,"",COUNTIF(F52:F56,"Ya")/5*100)</f>
        <v/>
      </c>
      <c r="G51" s="31" t="str">
        <f>IF(COUNTA(G52:G56)=0,"",COUNTIF(G52:G56,"Ya")/5*100)</f>
        <v/>
      </c>
      <c r="H51" s="31" t="str">
        <f>IF(COUNTA(H52:H56)=0,"",COUNTIF(H52:H56,"Ya")/5*100)</f>
        <v/>
      </c>
      <c r="I51" s="31" t="str">
        <f>IF(COUNTA(I52:I56)=0,"",COUNTIF(I52:I56,"Ya")/5*100)</f>
        <v/>
      </c>
      <c r="J51" s="31" t="str">
        <f>IF(COUNTA(J52:J56)=0,"",COUNTIF(J52:J56,"Ya")/5*100)</f>
        <v/>
      </c>
      <c r="K51" s="31" t="str">
        <f>IF(COUNTA(K52:K56)=0,"",COUNTIF(K52:K56,"Ya")/5*100)</f>
        <v/>
      </c>
      <c r="L51" s="31" t="str">
        <f>IF(COUNTA(L52:L56)=0,"",COUNTIF(L52:L56,"Ya")/5*100)</f>
        <v/>
      </c>
      <c r="M51" s="31" t="str">
        <f>IF(COUNTA(M52:M56)=0,"",COUNTIF(M52:M56,"Ya")/5*100)</f>
        <v/>
      </c>
      <c r="N51" s="31" t="str">
        <f>IF(COUNTA(N52:N56)=0,"",COUNTIF(N52:N56,"Ya")/5*100)</f>
        <v/>
      </c>
      <c r="O51" s="31" t="str">
        <f>IF(COUNTA(O52:O56)=0,"",COUNTIF(O52:O56,"Ya")/5*100)</f>
        <v/>
      </c>
      <c r="P51" s="31" t="str">
        <f>IF(COUNTA(P52:P56)=0,"",COUNTIF(P52:P56,"Ya")/5*100)</f>
        <v/>
      </c>
      <c r="Q51" s="31" t="str">
        <f>IF(COUNTA(Q52:Q56)=0,"",COUNTIF(Q52:Q56,"Ya")/5*100)</f>
        <v/>
      </c>
      <c r="R51" s="31" t="str">
        <f>IF(COUNTA(R52:R56)=0,"",COUNTIF(R52:R56,"Ya")/5*100)</f>
        <v/>
      </c>
      <c r="S51" s="31" t="str">
        <f>IF(COUNTA(S52:S56)=0,"",COUNTIF(S52:S56,"Ya")/5*100)</f>
        <v/>
      </c>
      <c r="T51" s="31" t="str">
        <f>IF(COUNTA(T52:T56)=0,"",COUNTIF(T52:T56,"Ya")/5*100)</f>
        <v/>
      </c>
      <c r="U51" s="31" t="str">
        <f>IF(COUNTA(U52:U56)=0,"",COUNTIF(U52:U56,"Ya")/5*100)</f>
        <v/>
      </c>
      <c r="V51" s="31" t="str">
        <f>IF(COUNTA(V52:V56)=0,"",COUNTIF(V52:V56,"Ya")/5*100)</f>
        <v/>
      </c>
      <c r="W51" s="31" t="str">
        <f>IF(COUNTA(W52:W56)=0,"",COUNTIF(W52:W56,"Ya")/5*100)</f>
        <v/>
      </c>
      <c r="X51" s="31" t="str">
        <f>IF(COUNTA(X52:X56)=0,"",COUNTIF(X52:X56,"Ya")/5*100)</f>
        <v/>
      </c>
      <c r="Y51" s="31" t="str">
        <f>IF(COUNTA(Y52:Y56)=0,"",COUNTIF(Y52:Y56,"Ya")/5*100)</f>
        <v/>
      </c>
      <c r="Z51" s="31" t="str">
        <f>_xlfn.IFERROR(AVERAGE(E51:Y51),"")</f>
        <v/>
      </c>
    </row>
    <row r="52" spans="8:8" ht="25.0" customHeight="1">
      <c r="A52" s="32"/>
      <c r="B52" s="33" t="s">
        <v>1020</v>
      </c>
      <c r="C52" s="34" t="s">
        <v>1021</v>
      </c>
      <c r="D52" s="32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8:8" ht="25.0" customHeight="1">
      <c r="A53" s="32"/>
      <c r="B53" s="33" t="s">
        <v>1022</v>
      </c>
      <c r="C53" s="34" t="s">
        <v>1023</v>
      </c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8:8" ht="25.0" customHeight="1">
      <c r="A54" s="32"/>
      <c r="B54" s="33" t="s">
        <v>1024</v>
      </c>
      <c r="C54" s="34" t="s">
        <v>1025</v>
      </c>
      <c r="D54" s="32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8:8" ht="25.0" customHeight="1">
      <c r="A55" s="32"/>
      <c r="B55" s="33" t="s">
        <v>1026</v>
      </c>
      <c r="C55" s="34" t="s">
        <v>1027</v>
      </c>
      <c r="D55" s="32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8:8" ht="25.0" customHeight="1">
      <c r="A56" s="32"/>
      <c r="B56" s="33" t="s">
        <v>1028</v>
      </c>
      <c r="C56" s="34" t="s">
        <v>1029</v>
      </c>
      <c r="D56" s="32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8:8" ht="40.0" customHeight="1">
      <c r="A57" s="28"/>
      <c r="B57" s="29" t="s">
        <v>1030</v>
      </c>
      <c r="C57" s="30" t="s">
        <v>1031</v>
      </c>
      <c r="D57" s="29">
        <v>10.0</v>
      </c>
      <c r="E57" s="31" t="str">
        <f>IF(COUNTA(E58:E62)=0,"",COUNTIF(E58:E62,"Ya")/5*100)</f>
        <v/>
      </c>
      <c r="F57" s="31" t="str">
        <f>IF(COUNTA(F58:F62)=0,"",COUNTIF(F58:F62,"Ya")/5*100)</f>
        <v/>
      </c>
      <c r="G57" s="31" t="str">
        <f>IF(COUNTA(G58:G62)=0,"",COUNTIF(G58:G62,"Ya")/5*100)</f>
        <v/>
      </c>
      <c r="H57" s="31" t="str">
        <f>IF(COUNTA(H58:H62)=0,"",COUNTIF(H58:H62,"Ya")/5*100)</f>
        <v/>
      </c>
      <c r="I57" s="31" t="str">
        <f>IF(COUNTA(I58:I62)=0,"",COUNTIF(I58:I62,"Ya")/5*100)</f>
        <v/>
      </c>
      <c r="J57" s="31" t="str">
        <f>IF(COUNTA(J58:J62)=0,"",COUNTIF(J58:J62,"Ya")/5*100)</f>
        <v/>
      </c>
      <c r="K57" s="31" t="str">
        <f>IF(COUNTA(K58:K62)=0,"",COUNTIF(K58:K62,"Ya")/5*100)</f>
        <v/>
      </c>
      <c r="L57" s="31" t="str">
        <f>IF(COUNTA(L58:L62)=0,"",COUNTIF(L58:L62,"Ya")/5*100)</f>
        <v/>
      </c>
      <c r="M57" s="31" t="str">
        <f>IF(COUNTA(M58:M62)=0,"",COUNTIF(M58:M62,"Ya")/5*100)</f>
        <v/>
      </c>
      <c r="N57" s="31" t="str">
        <f>IF(COUNTA(N58:N62)=0,"",COUNTIF(N58:N62,"Ya")/5*100)</f>
        <v/>
      </c>
      <c r="O57" s="31" t="str">
        <f>IF(COUNTA(O58:O62)=0,"",COUNTIF(O58:O62,"Ya")/5*100)</f>
        <v/>
      </c>
      <c r="P57" s="31" t="str">
        <f>IF(COUNTA(P58:P62)=0,"",COUNTIF(P58:P62,"Ya")/5*100)</f>
        <v/>
      </c>
      <c r="Q57" s="31" t="str">
        <f>IF(COUNTA(Q58:Q62)=0,"",COUNTIF(Q58:Q62,"Ya")/5*100)</f>
        <v/>
      </c>
      <c r="R57" s="31" t="str">
        <f>IF(COUNTA(R58:R62)=0,"",COUNTIF(R58:R62,"Ya")/5*100)</f>
        <v/>
      </c>
      <c r="S57" s="31" t="str">
        <f>IF(COUNTA(S58:S62)=0,"",COUNTIF(S58:S62,"Ya")/5*100)</f>
        <v/>
      </c>
      <c r="T57" s="31" t="str">
        <f>IF(COUNTA(T58:T62)=0,"",COUNTIF(T58:T62,"Ya")/5*100)</f>
        <v/>
      </c>
      <c r="U57" s="31" t="str">
        <f>IF(COUNTA(U58:U62)=0,"",COUNTIF(U58:U62,"Ya")/5*100)</f>
        <v/>
      </c>
      <c r="V57" s="31" t="str">
        <f>IF(COUNTA(V58:V62)=0,"",COUNTIF(V58:V62,"Ya")/5*100)</f>
        <v/>
      </c>
      <c r="W57" s="31" t="str">
        <f>IF(COUNTA(W58:W62)=0,"",COUNTIF(W58:W62,"Ya")/5*100)</f>
        <v/>
      </c>
      <c r="X57" s="31" t="str">
        <f>IF(COUNTA(X58:X62)=0,"",COUNTIF(X58:X62,"Ya")/5*100)</f>
        <v/>
      </c>
      <c r="Y57" s="31" t="str">
        <f>IF(COUNTA(Y58:Y62)=0,"",COUNTIF(Y58:Y62,"Ya")/5*100)</f>
        <v/>
      </c>
      <c r="Z57" s="31" t="str">
        <f>_xlfn.IFERROR(AVERAGE(E57:Y57),"")</f>
        <v/>
      </c>
    </row>
    <row r="58" spans="8:8" ht="25.0" customHeight="1">
      <c r="A58" s="32"/>
      <c r="B58" s="33" t="s">
        <v>1032</v>
      </c>
      <c r="C58" s="34" t="s">
        <v>1033</v>
      </c>
      <c r="D58" s="3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8:8" ht="25.0" customHeight="1">
      <c r="A59" s="32"/>
      <c r="B59" s="33" t="s">
        <v>1034</v>
      </c>
      <c r="C59" s="34" t="s">
        <v>1035</v>
      </c>
      <c r="D59" s="32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8:8" ht="25.0" customHeight="1">
      <c r="A60" s="32"/>
      <c r="B60" s="33" t="s">
        <v>1036</v>
      </c>
      <c r="C60" s="34" t="s">
        <v>1037</v>
      </c>
      <c r="D60" s="3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8:8" ht="25.0" customHeight="1">
      <c r="A61" s="32"/>
      <c r="B61" s="33" t="s">
        <v>1038</v>
      </c>
      <c r="C61" s="34" t="s">
        <v>1039</v>
      </c>
      <c r="D61" s="32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8:8" ht="25.0" customHeight="1">
      <c r="A62" s="32"/>
      <c r="B62" s="33" t="s">
        <v>1040</v>
      </c>
      <c r="C62" s="34" t="s">
        <v>1041</v>
      </c>
      <c r="D62" s="32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8:8" ht="40.0" customHeight="1">
      <c r="A63" s="28"/>
      <c r="B63" s="29" t="s">
        <v>1042</v>
      </c>
      <c r="C63" s="30" t="s">
        <v>1043</v>
      </c>
      <c r="D63" s="29">
        <v>10.0</v>
      </c>
      <c r="E63" s="31" t="str">
        <f>IF(COUNTA(E64:E68)=0,"",COUNTIF(E64:E68,"Ya")/5*100)</f>
        <v/>
      </c>
      <c r="F63" s="31" t="str">
        <f>IF(COUNTA(F64:F68)=0,"",COUNTIF(F64:F68,"Ya")/5*100)</f>
        <v/>
      </c>
      <c r="G63" s="31" t="str">
        <f>IF(COUNTA(G64:G68)=0,"",COUNTIF(G64:G68,"Ya")/5*100)</f>
        <v/>
      </c>
      <c r="H63" s="31" t="str">
        <f>IF(COUNTA(H64:H68)=0,"",COUNTIF(H64:H68,"Ya")/5*100)</f>
        <v/>
      </c>
      <c r="I63" s="31" t="str">
        <f>IF(COUNTA(I64:I68)=0,"",COUNTIF(I64:I68,"Ya")/5*100)</f>
        <v/>
      </c>
      <c r="J63" s="31" t="str">
        <f>IF(COUNTA(J64:J68)=0,"",COUNTIF(J64:J68,"Ya")/5*100)</f>
        <v/>
      </c>
      <c r="K63" s="31" t="str">
        <f>IF(COUNTA(K64:K68)=0,"",COUNTIF(K64:K68,"Ya")/5*100)</f>
        <v/>
      </c>
      <c r="L63" s="31" t="str">
        <f>IF(COUNTA(L64:L68)=0,"",COUNTIF(L64:L68,"Ya")/5*100)</f>
        <v/>
      </c>
      <c r="M63" s="31" t="str">
        <f>IF(COUNTA(M64:M68)=0,"",COUNTIF(M64:M68,"Ya")/5*100)</f>
        <v/>
      </c>
      <c r="N63" s="31" t="str">
        <f>IF(COUNTA(N64:N68)=0,"",COUNTIF(N64:N68,"Ya")/5*100)</f>
        <v/>
      </c>
      <c r="O63" s="31" t="str">
        <f>IF(COUNTA(O64:O68)=0,"",COUNTIF(O64:O68,"Ya")/5*100)</f>
        <v/>
      </c>
      <c r="P63" s="31" t="str">
        <f>IF(COUNTA(P64:P68)=0,"",COUNTIF(P64:P68,"Ya")/5*100)</f>
        <v/>
      </c>
      <c r="Q63" s="31" t="str">
        <f>IF(COUNTA(Q64:Q68)=0,"",COUNTIF(Q64:Q68,"Ya")/5*100)</f>
        <v/>
      </c>
      <c r="R63" s="31" t="str">
        <f>IF(COUNTA(R64:R68)=0,"",COUNTIF(R64:R68,"Ya")/5*100)</f>
        <v/>
      </c>
      <c r="S63" s="31" t="str">
        <f>IF(COUNTA(S64:S68)=0,"",COUNTIF(S64:S68,"Ya")/5*100)</f>
        <v/>
      </c>
      <c r="T63" s="31" t="str">
        <f>IF(COUNTA(T64:T68)=0,"",COUNTIF(T64:T68,"Ya")/5*100)</f>
        <v/>
      </c>
      <c r="U63" s="31" t="str">
        <f>IF(COUNTA(U64:U68)=0,"",COUNTIF(U64:U68,"Ya")/5*100)</f>
        <v/>
      </c>
      <c r="V63" s="31" t="str">
        <f>IF(COUNTA(V64:V68)=0,"",COUNTIF(V64:V68,"Ya")/5*100)</f>
        <v/>
      </c>
      <c r="W63" s="31" t="str">
        <f>IF(COUNTA(W64:W68)=0,"",COUNTIF(W64:W68,"Ya")/5*100)</f>
        <v/>
      </c>
      <c r="X63" s="31" t="str">
        <f>IF(COUNTA(X64:X68)=0,"",COUNTIF(X64:X68,"Ya")/5*100)</f>
        <v/>
      </c>
      <c r="Y63" s="31" t="str">
        <f>IF(COUNTA(Y64:Y68)=0,"",COUNTIF(Y64:Y68,"Ya")/5*100)</f>
        <v/>
      </c>
      <c r="Z63" s="31" t="str">
        <f>_xlfn.IFERROR(AVERAGE(E63:Y63),"")</f>
        <v/>
      </c>
    </row>
    <row r="64" spans="8:8" ht="25.0" customHeight="1">
      <c r="A64" s="32"/>
      <c r="B64" s="33" t="s">
        <v>1044</v>
      </c>
      <c r="C64" s="34" t="s">
        <v>1045</v>
      </c>
      <c r="D64" s="32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8:8" ht="25.0" customHeight="1">
      <c r="A65" s="32"/>
      <c r="B65" s="33" t="s">
        <v>1046</v>
      </c>
      <c r="C65" s="34" t="s">
        <v>1047</v>
      </c>
      <c r="D65" s="32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8:8" ht="25.0" customHeight="1">
      <c r="A66" s="32"/>
      <c r="B66" s="33" t="s">
        <v>1048</v>
      </c>
      <c r="C66" s="34" t="s">
        <v>1049</v>
      </c>
      <c r="D66" s="32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8:8" ht="25.0" customHeight="1">
      <c r="A67" s="32"/>
      <c r="B67" s="33" t="s">
        <v>1050</v>
      </c>
      <c r="C67" s="34" t="s">
        <v>1051</v>
      </c>
      <c r="D67" s="32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8:8" ht="25.0" customHeight="1">
      <c r="A68" s="32"/>
      <c r="B68" s="33" t="s">
        <v>1052</v>
      </c>
      <c r="C68" s="34" t="s">
        <v>1053</v>
      </c>
      <c r="D68" s="32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8:8" ht="18.0" customHeight="1">
      <c r="A69" s="36"/>
      <c r="B69" s="36"/>
      <c r="C69" s="37" t="s">
        <v>1054</v>
      </c>
      <c r="D69" s="38">
        <v>30.0</v>
      </c>
      <c r="E69" s="39" t="str">
        <f>IF((IF(ISNUMBER(E51),10,0)+IF(ISNUMBER(E57),10,0)+IF(ISNUMBER(E63),10,0))=0,"",(IF(ISNUMBER(E51),E51*10,0)+IF(ISNUMBER(E57),E57*10,0)+IF(ISNUMBER(E63),E63*10,0))/(IF(ISNUMBER(E51),10,0)+IF(ISNUMBER(E57),10,0)+IF(ISNUMBER(E63),10,0)))</f>
        <v/>
      </c>
      <c r="F69" s="39" t="str">
        <f>IF((IF(ISNUMBER(F51),10,0)+IF(ISNUMBER(F57),10,0)+IF(ISNUMBER(F63),10,0))=0,"",(IF(ISNUMBER(F51),F51*10,0)+IF(ISNUMBER(F57),F57*10,0)+IF(ISNUMBER(F63),F63*10,0))/(IF(ISNUMBER(F51),10,0)+IF(ISNUMBER(F57),10,0)+IF(ISNUMBER(F63),10,0)))</f>
        <v/>
      </c>
      <c r="G69" s="39" t="str">
        <f>IF((IF(ISNUMBER(G51),10,0)+IF(ISNUMBER(G57),10,0)+IF(ISNUMBER(G63),10,0))=0,"",(IF(ISNUMBER(G51),G51*10,0)+IF(ISNUMBER(G57),G57*10,0)+IF(ISNUMBER(G63),G63*10,0))/(IF(ISNUMBER(G51),10,0)+IF(ISNUMBER(G57),10,0)+IF(ISNUMBER(G63),10,0)))</f>
        <v/>
      </c>
      <c r="H69" s="39" t="str">
        <f>IF((IF(ISNUMBER(H51),10,0)+IF(ISNUMBER(H57),10,0)+IF(ISNUMBER(H63),10,0))=0,"",(IF(ISNUMBER(H51),H51*10,0)+IF(ISNUMBER(H57),H57*10,0)+IF(ISNUMBER(H63),H63*10,0))/(IF(ISNUMBER(H51),10,0)+IF(ISNUMBER(H57),10,0)+IF(ISNUMBER(H63),10,0)))</f>
        <v/>
      </c>
      <c r="I69" s="39" t="str">
        <f>IF((IF(ISNUMBER(I51),10,0)+IF(ISNUMBER(I57),10,0)+IF(ISNUMBER(I63),10,0))=0,"",(IF(ISNUMBER(I51),I51*10,0)+IF(ISNUMBER(I57),I57*10,0)+IF(ISNUMBER(I63),I63*10,0))/(IF(ISNUMBER(I51),10,0)+IF(ISNUMBER(I57),10,0)+IF(ISNUMBER(I63),10,0)))</f>
        <v/>
      </c>
      <c r="J69" s="39" t="str">
        <f>IF((IF(ISNUMBER(J51),10,0)+IF(ISNUMBER(J57),10,0)+IF(ISNUMBER(J63),10,0))=0,"",(IF(ISNUMBER(J51),J51*10,0)+IF(ISNUMBER(J57),J57*10,0)+IF(ISNUMBER(J63),J63*10,0))/(IF(ISNUMBER(J51),10,0)+IF(ISNUMBER(J57),10,0)+IF(ISNUMBER(J63),10,0)))</f>
        <v/>
      </c>
      <c r="K69" s="39" t="str">
        <f>IF((IF(ISNUMBER(K51),10,0)+IF(ISNUMBER(K57),10,0)+IF(ISNUMBER(K63),10,0))=0,"",(IF(ISNUMBER(K51),K51*10,0)+IF(ISNUMBER(K57),K57*10,0)+IF(ISNUMBER(K63),K63*10,0))/(IF(ISNUMBER(K51),10,0)+IF(ISNUMBER(K57),10,0)+IF(ISNUMBER(K63),10,0)))</f>
        <v/>
      </c>
      <c r="L69" s="39" t="str">
        <f>IF((IF(ISNUMBER(L51),10,0)+IF(ISNUMBER(L57),10,0)+IF(ISNUMBER(L63),10,0))=0,"",(IF(ISNUMBER(L51),L51*10,0)+IF(ISNUMBER(L57),L57*10,0)+IF(ISNUMBER(L63),L63*10,0))/(IF(ISNUMBER(L51),10,0)+IF(ISNUMBER(L57),10,0)+IF(ISNUMBER(L63),10,0)))</f>
        <v/>
      </c>
      <c r="M69" s="39" t="str">
        <f>IF((IF(ISNUMBER(M51),10,0)+IF(ISNUMBER(M57),10,0)+IF(ISNUMBER(M63),10,0))=0,"",(IF(ISNUMBER(M51),M51*10,0)+IF(ISNUMBER(M57),M57*10,0)+IF(ISNUMBER(M63),M63*10,0))/(IF(ISNUMBER(M51),10,0)+IF(ISNUMBER(M57),10,0)+IF(ISNUMBER(M63),10,0)))</f>
        <v/>
      </c>
      <c r="N69" s="39" t="str">
        <f>IF((IF(ISNUMBER(N51),10,0)+IF(ISNUMBER(N57),10,0)+IF(ISNUMBER(N63),10,0))=0,"",(IF(ISNUMBER(N51),N51*10,0)+IF(ISNUMBER(N57),N57*10,0)+IF(ISNUMBER(N63),N63*10,0))/(IF(ISNUMBER(N51),10,0)+IF(ISNUMBER(N57),10,0)+IF(ISNUMBER(N63),10,0)))</f>
        <v/>
      </c>
      <c r="O69" s="39" t="str">
        <f>IF((IF(ISNUMBER(O51),10,0)+IF(ISNUMBER(O57),10,0)+IF(ISNUMBER(O63),10,0))=0,"",(IF(ISNUMBER(O51),O51*10,0)+IF(ISNUMBER(O57),O57*10,0)+IF(ISNUMBER(O63),O63*10,0))/(IF(ISNUMBER(O51),10,0)+IF(ISNUMBER(O57),10,0)+IF(ISNUMBER(O63),10,0)))</f>
        <v/>
      </c>
      <c r="P69" s="39" t="str">
        <f>IF((IF(ISNUMBER(P51),10,0)+IF(ISNUMBER(P57),10,0)+IF(ISNUMBER(P63),10,0))=0,"",(IF(ISNUMBER(P51),P51*10,0)+IF(ISNUMBER(P57),P57*10,0)+IF(ISNUMBER(P63),P63*10,0))/(IF(ISNUMBER(P51),10,0)+IF(ISNUMBER(P57),10,0)+IF(ISNUMBER(P63),10,0)))</f>
        <v/>
      </c>
      <c r="Q69" s="39" t="str">
        <f>IF((IF(ISNUMBER(Q51),10,0)+IF(ISNUMBER(Q57),10,0)+IF(ISNUMBER(Q63),10,0))=0,"",(IF(ISNUMBER(Q51),Q51*10,0)+IF(ISNUMBER(Q57),Q57*10,0)+IF(ISNUMBER(Q63),Q63*10,0))/(IF(ISNUMBER(Q51),10,0)+IF(ISNUMBER(Q57),10,0)+IF(ISNUMBER(Q63),10,0)))</f>
        <v/>
      </c>
      <c r="R69" s="39" t="str">
        <f>IF((IF(ISNUMBER(R51),10,0)+IF(ISNUMBER(R57),10,0)+IF(ISNUMBER(R63),10,0))=0,"",(IF(ISNUMBER(R51),R51*10,0)+IF(ISNUMBER(R57),R57*10,0)+IF(ISNUMBER(R63),R63*10,0))/(IF(ISNUMBER(R51),10,0)+IF(ISNUMBER(R57),10,0)+IF(ISNUMBER(R63),10,0)))</f>
        <v/>
      </c>
      <c r="S69" s="39" t="str">
        <f>IF((IF(ISNUMBER(S51),10,0)+IF(ISNUMBER(S57),10,0)+IF(ISNUMBER(S63),10,0))=0,"",(IF(ISNUMBER(S51),S51*10,0)+IF(ISNUMBER(S57),S57*10,0)+IF(ISNUMBER(S63),S63*10,0))/(IF(ISNUMBER(S51),10,0)+IF(ISNUMBER(S57),10,0)+IF(ISNUMBER(S63),10,0)))</f>
        <v/>
      </c>
      <c r="T69" s="39" t="str">
        <f>IF((IF(ISNUMBER(T51),10,0)+IF(ISNUMBER(T57),10,0)+IF(ISNUMBER(T63),10,0))=0,"",(IF(ISNUMBER(T51),T51*10,0)+IF(ISNUMBER(T57),T57*10,0)+IF(ISNUMBER(T63),T63*10,0))/(IF(ISNUMBER(T51),10,0)+IF(ISNUMBER(T57),10,0)+IF(ISNUMBER(T63),10,0)))</f>
        <v/>
      </c>
      <c r="U69" s="39" t="str">
        <f>IF((IF(ISNUMBER(U51),10,0)+IF(ISNUMBER(U57),10,0)+IF(ISNUMBER(U63),10,0))=0,"",(IF(ISNUMBER(U51),U51*10,0)+IF(ISNUMBER(U57),U57*10,0)+IF(ISNUMBER(U63),U63*10,0))/(IF(ISNUMBER(U51),10,0)+IF(ISNUMBER(U57),10,0)+IF(ISNUMBER(U63),10,0)))</f>
        <v/>
      </c>
      <c r="V69" s="39" t="str">
        <f>IF((IF(ISNUMBER(V51),10,0)+IF(ISNUMBER(V57),10,0)+IF(ISNUMBER(V63),10,0))=0,"",(IF(ISNUMBER(V51),V51*10,0)+IF(ISNUMBER(V57),V57*10,0)+IF(ISNUMBER(V63),V63*10,0))/(IF(ISNUMBER(V51),10,0)+IF(ISNUMBER(V57),10,0)+IF(ISNUMBER(V63),10,0)))</f>
        <v/>
      </c>
      <c r="W69" s="39" t="str">
        <f>IF((IF(ISNUMBER(W51),10,0)+IF(ISNUMBER(W57),10,0)+IF(ISNUMBER(W63),10,0))=0,"",(IF(ISNUMBER(W51),W51*10,0)+IF(ISNUMBER(W57),W57*10,0)+IF(ISNUMBER(W63),W63*10,0))/(IF(ISNUMBER(W51),10,0)+IF(ISNUMBER(W57),10,0)+IF(ISNUMBER(W63),10,0)))</f>
        <v/>
      </c>
      <c r="X69" s="39" t="str">
        <f>IF((IF(ISNUMBER(X51),10,0)+IF(ISNUMBER(X57),10,0)+IF(ISNUMBER(X63),10,0))=0,"",(IF(ISNUMBER(X51),X51*10,0)+IF(ISNUMBER(X57),X57*10,0)+IF(ISNUMBER(X63),X63*10,0))/(IF(ISNUMBER(X51),10,0)+IF(ISNUMBER(X57),10,0)+IF(ISNUMBER(X63),10,0)))</f>
        <v/>
      </c>
      <c r="Y69" s="39" t="str">
        <f>IF((IF(ISNUMBER(Y51),10,0)+IF(ISNUMBER(Y57),10,0)+IF(ISNUMBER(Y63),10,0))=0,"",(IF(ISNUMBER(Y51),Y51*10,0)+IF(ISNUMBER(Y57),Y57*10,0)+IF(ISNUMBER(Y63),Y63*10,0))/(IF(ISNUMBER(Y51),10,0)+IF(ISNUMBER(Y57),10,0)+IF(ISNUMBER(Y63),10,0)))</f>
        <v/>
      </c>
      <c r="Z69" s="39" t="str">
        <f>_xlfn.IFERROR(AVERAGE(E69:Y69),"")</f>
        <v/>
      </c>
    </row>
    <row r="70" spans="8:8" ht="22.0" customHeight="1">
      <c r="A70" s="40" t="s">
        <v>1055</v>
      </c>
      <c r="E70" s="41" t="str">
        <f>IF((IF(ISNUMBER(E5),10,0)+IF(ISNUMBER(E11),10,0)+IF(ISNUMBER(E17),10,0)+IF(ISNUMBER(E23),10,0)+IF(ISNUMBER(E31),10,0)+IF(ISNUMBER(E37),10,0)+IF(ISNUMBER(E43),10,0)+IF(ISNUMBER(E51),10,0)+IF(ISNUMBER(E57),10,0)+IF(ISNUMBER(E63),10,0))=0,"",(IF(ISNUMBER(E5),E5*10,0)+IF(ISNUMBER(E11),E11*10,0)+IF(ISNUMBER(E17),E17*10,0)+IF(ISNUMBER(E23),E23*10,0)+IF(ISNUMBER(E31),E31*10,0)+IF(ISNUMBER(E37),E37*10,0)+IF(ISNUMBER(E43),E43*10,0)+IF(ISNUMBER(E51),E51*10,0)+IF(ISNUMBER(E57),E57*10,0)+IF(ISNUMBER(E63),E63*10,0))/(IF(ISNUMBER(E5),10,0)+IF(ISNUMBER(E11),10,0)+IF(ISNUMBER(E17),10,0)+IF(ISNUMBER(E23),10,0)+IF(ISNUMBER(E31),10,0)+IF(ISNUMBER(E37),10,0)+IF(ISNUMBER(E43),10,0)+IF(ISNUMBER(E51),10,0)+IF(ISNUMBER(E57),10,0)+IF(ISNUMBER(E63),10,0)))</f>
        <v/>
      </c>
      <c r="F70" s="41" t="str">
        <f>IF((IF(ISNUMBER(F5),10,0)+IF(ISNUMBER(F11),10,0)+IF(ISNUMBER(F17),10,0)+IF(ISNUMBER(F23),10,0)+IF(ISNUMBER(F31),10,0)+IF(ISNUMBER(F37),10,0)+IF(ISNUMBER(F43),10,0)+IF(ISNUMBER(F51),10,0)+IF(ISNUMBER(F57),10,0)+IF(ISNUMBER(F63),10,0))=0,"",(IF(ISNUMBER(F5),F5*10,0)+IF(ISNUMBER(F11),F11*10,0)+IF(ISNUMBER(F17),F17*10,0)+IF(ISNUMBER(F23),F23*10,0)+IF(ISNUMBER(F31),F31*10,0)+IF(ISNUMBER(F37),F37*10,0)+IF(ISNUMBER(F43),F43*10,0)+IF(ISNUMBER(F51),F51*10,0)+IF(ISNUMBER(F57),F57*10,0)+IF(ISNUMBER(F63),F63*10,0))/(IF(ISNUMBER(F5),10,0)+IF(ISNUMBER(F11),10,0)+IF(ISNUMBER(F17),10,0)+IF(ISNUMBER(F23),10,0)+IF(ISNUMBER(F31),10,0)+IF(ISNUMBER(F37),10,0)+IF(ISNUMBER(F43),10,0)+IF(ISNUMBER(F51),10,0)+IF(ISNUMBER(F57),10,0)+IF(ISNUMBER(F63),10,0)))</f>
        <v/>
      </c>
      <c r="G70" s="41" t="str">
        <f>IF((IF(ISNUMBER(G5),10,0)+IF(ISNUMBER(G11),10,0)+IF(ISNUMBER(G17),10,0)+IF(ISNUMBER(G23),10,0)+IF(ISNUMBER(G31),10,0)+IF(ISNUMBER(G37),10,0)+IF(ISNUMBER(G43),10,0)+IF(ISNUMBER(G51),10,0)+IF(ISNUMBER(G57),10,0)+IF(ISNUMBER(G63),10,0))=0,"",(IF(ISNUMBER(G5),G5*10,0)+IF(ISNUMBER(G11),G11*10,0)+IF(ISNUMBER(G17),G17*10,0)+IF(ISNUMBER(G23),G23*10,0)+IF(ISNUMBER(G31),G31*10,0)+IF(ISNUMBER(G37),G37*10,0)+IF(ISNUMBER(G43),G43*10,0)+IF(ISNUMBER(G51),G51*10,0)+IF(ISNUMBER(G57),G57*10,0)+IF(ISNUMBER(G63),G63*10,0))/(IF(ISNUMBER(G5),10,0)+IF(ISNUMBER(G11),10,0)+IF(ISNUMBER(G17),10,0)+IF(ISNUMBER(G23),10,0)+IF(ISNUMBER(G31),10,0)+IF(ISNUMBER(G37),10,0)+IF(ISNUMBER(G43),10,0)+IF(ISNUMBER(G51),10,0)+IF(ISNUMBER(G57),10,0)+IF(ISNUMBER(G63),10,0)))</f>
        <v/>
      </c>
      <c r="H70" s="41" t="str">
        <f>IF((IF(ISNUMBER(H5),10,0)+IF(ISNUMBER(H11),10,0)+IF(ISNUMBER(H17),10,0)+IF(ISNUMBER(H23),10,0)+IF(ISNUMBER(H31),10,0)+IF(ISNUMBER(H37),10,0)+IF(ISNUMBER(H43),10,0)+IF(ISNUMBER(H51),10,0)+IF(ISNUMBER(H57),10,0)+IF(ISNUMBER(H63),10,0))=0,"",(IF(ISNUMBER(H5),H5*10,0)+IF(ISNUMBER(H11),H11*10,0)+IF(ISNUMBER(H17),H17*10,0)+IF(ISNUMBER(H23),H23*10,0)+IF(ISNUMBER(H31),H31*10,0)+IF(ISNUMBER(H37),H37*10,0)+IF(ISNUMBER(H43),H43*10,0)+IF(ISNUMBER(H51),H51*10,0)+IF(ISNUMBER(H57),H57*10,0)+IF(ISNUMBER(H63),H63*10,0))/(IF(ISNUMBER(H5),10,0)+IF(ISNUMBER(H11),10,0)+IF(ISNUMBER(H17),10,0)+IF(ISNUMBER(H23),10,0)+IF(ISNUMBER(H31),10,0)+IF(ISNUMBER(H37),10,0)+IF(ISNUMBER(H43),10,0)+IF(ISNUMBER(H51),10,0)+IF(ISNUMBER(H57),10,0)+IF(ISNUMBER(H63),10,0)))</f>
        <v/>
      </c>
      <c r="I70" s="41" t="str">
        <f>IF((IF(ISNUMBER(I5),10,0)+IF(ISNUMBER(I11),10,0)+IF(ISNUMBER(I17),10,0)+IF(ISNUMBER(I23),10,0)+IF(ISNUMBER(I31),10,0)+IF(ISNUMBER(I37),10,0)+IF(ISNUMBER(I43),10,0)+IF(ISNUMBER(I51),10,0)+IF(ISNUMBER(I57),10,0)+IF(ISNUMBER(I63),10,0))=0,"",(IF(ISNUMBER(I5),I5*10,0)+IF(ISNUMBER(I11),I11*10,0)+IF(ISNUMBER(I17),I17*10,0)+IF(ISNUMBER(I23),I23*10,0)+IF(ISNUMBER(I31),I31*10,0)+IF(ISNUMBER(I37),I37*10,0)+IF(ISNUMBER(I43),I43*10,0)+IF(ISNUMBER(I51),I51*10,0)+IF(ISNUMBER(I57),I57*10,0)+IF(ISNUMBER(I63),I63*10,0))/(IF(ISNUMBER(I5),10,0)+IF(ISNUMBER(I11),10,0)+IF(ISNUMBER(I17),10,0)+IF(ISNUMBER(I23),10,0)+IF(ISNUMBER(I31),10,0)+IF(ISNUMBER(I37),10,0)+IF(ISNUMBER(I43),10,0)+IF(ISNUMBER(I51),10,0)+IF(ISNUMBER(I57),10,0)+IF(ISNUMBER(I63),10,0)))</f>
        <v/>
      </c>
      <c r="J70" s="41" t="str">
        <f>IF((IF(ISNUMBER(J5),10,0)+IF(ISNUMBER(J11),10,0)+IF(ISNUMBER(J17),10,0)+IF(ISNUMBER(J23),10,0)+IF(ISNUMBER(J31),10,0)+IF(ISNUMBER(J37),10,0)+IF(ISNUMBER(J43),10,0)+IF(ISNUMBER(J51),10,0)+IF(ISNUMBER(J57),10,0)+IF(ISNUMBER(J63),10,0))=0,"",(IF(ISNUMBER(J5),J5*10,0)+IF(ISNUMBER(J11),J11*10,0)+IF(ISNUMBER(J17),J17*10,0)+IF(ISNUMBER(J23),J23*10,0)+IF(ISNUMBER(J31),J31*10,0)+IF(ISNUMBER(J37),J37*10,0)+IF(ISNUMBER(J43),J43*10,0)+IF(ISNUMBER(J51),J51*10,0)+IF(ISNUMBER(J57),J57*10,0)+IF(ISNUMBER(J63),J63*10,0))/(IF(ISNUMBER(J5),10,0)+IF(ISNUMBER(J11),10,0)+IF(ISNUMBER(J17),10,0)+IF(ISNUMBER(J23),10,0)+IF(ISNUMBER(J31),10,0)+IF(ISNUMBER(J37),10,0)+IF(ISNUMBER(J43),10,0)+IF(ISNUMBER(J51),10,0)+IF(ISNUMBER(J57),10,0)+IF(ISNUMBER(J63),10,0)))</f>
        <v/>
      </c>
      <c r="K70" s="41" t="str">
        <f>IF((IF(ISNUMBER(K5),10,0)+IF(ISNUMBER(K11),10,0)+IF(ISNUMBER(K17),10,0)+IF(ISNUMBER(K23),10,0)+IF(ISNUMBER(K31),10,0)+IF(ISNUMBER(K37),10,0)+IF(ISNUMBER(K43),10,0)+IF(ISNUMBER(K51),10,0)+IF(ISNUMBER(K57),10,0)+IF(ISNUMBER(K63),10,0))=0,"",(IF(ISNUMBER(K5),K5*10,0)+IF(ISNUMBER(K11),K11*10,0)+IF(ISNUMBER(K17),K17*10,0)+IF(ISNUMBER(K23),K23*10,0)+IF(ISNUMBER(K31),K31*10,0)+IF(ISNUMBER(K37),K37*10,0)+IF(ISNUMBER(K43),K43*10,0)+IF(ISNUMBER(K51),K51*10,0)+IF(ISNUMBER(K57),K57*10,0)+IF(ISNUMBER(K63),K63*10,0))/(IF(ISNUMBER(K5),10,0)+IF(ISNUMBER(K11),10,0)+IF(ISNUMBER(K17),10,0)+IF(ISNUMBER(K23),10,0)+IF(ISNUMBER(K31),10,0)+IF(ISNUMBER(K37),10,0)+IF(ISNUMBER(K43),10,0)+IF(ISNUMBER(K51),10,0)+IF(ISNUMBER(K57),10,0)+IF(ISNUMBER(K63),10,0)))</f>
        <v/>
      </c>
      <c r="L70" s="41" t="str">
        <f>IF((IF(ISNUMBER(L5),10,0)+IF(ISNUMBER(L11),10,0)+IF(ISNUMBER(L17),10,0)+IF(ISNUMBER(L23),10,0)+IF(ISNUMBER(L31),10,0)+IF(ISNUMBER(L37),10,0)+IF(ISNUMBER(L43),10,0)+IF(ISNUMBER(L51),10,0)+IF(ISNUMBER(L57),10,0)+IF(ISNUMBER(L63),10,0))=0,"",(IF(ISNUMBER(L5),L5*10,0)+IF(ISNUMBER(L11),L11*10,0)+IF(ISNUMBER(L17),L17*10,0)+IF(ISNUMBER(L23),L23*10,0)+IF(ISNUMBER(L31),L31*10,0)+IF(ISNUMBER(L37),L37*10,0)+IF(ISNUMBER(L43),L43*10,0)+IF(ISNUMBER(L51),L51*10,0)+IF(ISNUMBER(L57),L57*10,0)+IF(ISNUMBER(L63),L63*10,0))/(IF(ISNUMBER(L5),10,0)+IF(ISNUMBER(L11),10,0)+IF(ISNUMBER(L17),10,0)+IF(ISNUMBER(L23),10,0)+IF(ISNUMBER(L31),10,0)+IF(ISNUMBER(L37),10,0)+IF(ISNUMBER(L43),10,0)+IF(ISNUMBER(L51),10,0)+IF(ISNUMBER(L57),10,0)+IF(ISNUMBER(L63),10,0)))</f>
        <v/>
      </c>
      <c r="M70" s="41" t="str">
        <f>IF((IF(ISNUMBER(M5),10,0)+IF(ISNUMBER(M11),10,0)+IF(ISNUMBER(M17),10,0)+IF(ISNUMBER(M23),10,0)+IF(ISNUMBER(M31),10,0)+IF(ISNUMBER(M37),10,0)+IF(ISNUMBER(M43),10,0)+IF(ISNUMBER(M51),10,0)+IF(ISNUMBER(M57),10,0)+IF(ISNUMBER(M63),10,0))=0,"",(IF(ISNUMBER(M5),M5*10,0)+IF(ISNUMBER(M11),M11*10,0)+IF(ISNUMBER(M17),M17*10,0)+IF(ISNUMBER(M23),M23*10,0)+IF(ISNUMBER(M31),M31*10,0)+IF(ISNUMBER(M37),M37*10,0)+IF(ISNUMBER(M43),M43*10,0)+IF(ISNUMBER(M51),M51*10,0)+IF(ISNUMBER(M57),M57*10,0)+IF(ISNUMBER(M63),M63*10,0))/(IF(ISNUMBER(M5),10,0)+IF(ISNUMBER(M11),10,0)+IF(ISNUMBER(M17),10,0)+IF(ISNUMBER(M23),10,0)+IF(ISNUMBER(M31),10,0)+IF(ISNUMBER(M37),10,0)+IF(ISNUMBER(M43),10,0)+IF(ISNUMBER(M51),10,0)+IF(ISNUMBER(M57),10,0)+IF(ISNUMBER(M63),10,0)))</f>
        <v/>
      </c>
      <c r="N70" s="41" t="str">
        <f>IF((IF(ISNUMBER(N5),10,0)+IF(ISNUMBER(N11),10,0)+IF(ISNUMBER(N17),10,0)+IF(ISNUMBER(N23),10,0)+IF(ISNUMBER(N31),10,0)+IF(ISNUMBER(N37),10,0)+IF(ISNUMBER(N43),10,0)+IF(ISNUMBER(N51),10,0)+IF(ISNUMBER(N57),10,0)+IF(ISNUMBER(N63),10,0))=0,"",(IF(ISNUMBER(N5),N5*10,0)+IF(ISNUMBER(N11),N11*10,0)+IF(ISNUMBER(N17),N17*10,0)+IF(ISNUMBER(N23),N23*10,0)+IF(ISNUMBER(N31),N31*10,0)+IF(ISNUMBER(N37),N37*10,0)+IF(ISNUMBER(N43),N43*10,0)+IF(ISNUMBER(N51),N51*10,0)+IF(ISNUMBER(N57),N57*10,0)+IF(ISNUMBER(N63),N63*10,0))/(IF(ISNUMBER(N5),10,0)+IF(ISNUMBER(N11),10,0)+IF(ISNUMBER(N17),10,0)+IF(ISNUMBER(N23),10,0)+IF(ISNUMBER(N31),10,0)+IF(ISNUMBER(N37),10,0)+IF(ISNUMBER(N43),10,0)+IF(ISNUMBER(N51),10,0)+IF(ISNUMBER(N57),10,0)+IF(ISNUMBER(N63),10,0)))</f>
        <v/>
      </c>
      <c r="O70" s="41" t="str">
        <f>IF((IF(ISNUMBER(O5),10,0)+IF(ISNUMBER(O11),10,0)+IF(ISNUMBER(O17),10,0)+IF(ISNUMBER(O23),10,0)+IF(ISNUMBER(O31),10,0)+IF(ISNUMBER(O37),10,0)+IF(ISNUMBER(O43),10,0)+IF(ISNUMBER(O51),10,0)+IF(ISNUMBER(O57),10,0)+IF(ISNUMBER(O63),10,0))=0,"",(IF(ISNUMBER(O5),O5*10,0)+IF(ISNUMBER(O11),O11*10,0)+IF(ISNUMBER(O17),O17*10,0)+IF(ISNUMBER(O23),O23*10,0)+IF(ISNUMBER(O31),O31*10,0)+IF(ISNUMBER(O37),O37*10,0)+IF(ISNUMBER(O43),O43*10,0)+IF(ISNUMBER(O51),O51*10,0)+IF(ISNUMBER(O57),O57*10,0)+IF(ISNUMBER(O63),O63*10,0))/(IF(ISNUMBER(O5),10,0)+IF(ISNUMBER(O11),10,0)+IF(ISNUMBER(O17),10,0)+IF(ISNUMBER(O23),10,0)+IF(ISNUMBER(O31),10,0)+IF(ISNUMBER(O37),10,0)+IF(ISNUMBER(O43),10,0)+IF(ISNUMBER(O51),10,0)+IF(ISNUMBER(O57),10,0)+IF(ISNUMBER(O63),10,0)))</f>
        <v/>
      </c>
      <c r="P70" s="41" t="str">
        <f>IF((IF(ISNUMBER(P5),10,0)+IF(ISNUMBER(P11),10,0)+IF(ISNUMBER(P17),10,0)+IF(ISNUMBER(P23),10,0)+IF(ISNUMBER(P31),10,0)+IF(ISNUMBER(P37),10,0)+IF(ISNUMBER(P43),10,0)+IF(ISNUMBER(P51),10,0)+IF(ISNUMBER(P57),10,0)+IF(ISNUMBER(P63),10,0))=0,"",(IF(ISNUMBER(P5),P5*10,0)+IF(ISNUMBER(P11),P11*10,0)+IF(ISNUMBER(P17),P17*10,0)+IF(ISNUMBER(P23),P23*10,0)+IF(ISNUMBER(P31),P31*10,0)+IF(ISNUMBER(P37),P37*10,0)+IF(ISNUMBER(P43),P43*10,0)+IF(ISNUMBER(P51),P51*10,0)+IF(ISNUMBER(P57),P57*10,0)+IF(ISNUMBER(P63),P63*10,0))/(IF(ISNUMBER(P5),10,0)+IF(ISNUMBER(P11),10,0)+IF(ISNUMBER(P17),10,0)+IF(ISNUMBER(P23),10,0)+IF(ISNUMBER(P31),10,0)+IF(ISNUMBER(P37),10,0)+IF(ISNUMBER(P43),10,0)+IF(ISNUMBER(P51),10,0)+IF(ISNUMBER(P57),10,0)+IF(ISNUMBER(P63),10,0)))</f>
        <v/>
      </c>
      <c r="Q70" s="41" t="str">
        <f>IF((IF(ISNUMBER(Q5),10,0)+IF(ISNUMBER(Q11),10,0)+IF(ISNUMBER(Q17),10,0)+IF(ISNUMBER(Q23),10,0)+IF(ISNUMBER(Q31),10,0)+IF(ISNUMBER(Q37),10,0)+IF(ISNUMBER(Q43),10,0)+IF(ISNUMBER(Q51),10,0)+IF(ISNUMBER(Q57),10,0)+IF(ISNUMBER(Q63),10,0))=0,"",(IF(ISNUMBER(Q5),Q5*10,0)+IF(ISNUMBER(Q11),Q11*10,0)+IF(ISNUMBER(Q17),Q17*10,0)+IF(ISNUMBER(Q23),Q23*10,0)+IF(ISNUMBER(Q31),Q31*10,0)+IF(ISNUMBER(Q37),Q37*10,0)+IF(ISNUMBER(Q43),Q43*10,0)+IF(ISNUMBER(Q51),Q51*10,0)+IF(ISNUMBER(Q57),Q57*10,0)+IF(ISNUMBER(Q63),Q63*10,0))/(IF(ISNUMBER(Q5),10,0)+IF(ISNUMBER(Q11),10,0)+IF(ISNUMBER(Q17),10,0)+IF(ISNUMBER(Q23),10,0)+IF(ISNUMBER(Q31),10,0)+IF(ISNUMBER(Q37),10,0)+IF(ISNUMBER(Q43),10,0)+IF(ISNUMBER(Q51),10,0)+IF(ISNUMBER(Q57),10,0)+IF(ISNUMBER(Q63),10,0)))</f>
        <v/>
      </c>
      <c r="R70" s="41" t="str">
        <f>IF((IF(ISNUMBER(R5),10,0)+IF(ISNUMBER(R11),10,0)+IF(ISNUMBER(R17),10,0)+IF(ISNUMBER(R23),10,0)+IF(ISNUMBER(R31),10,0)+IF(ISNUMBER(R37),10,0)+IF(ISNUMBER(R43),10,0)+IF(ISNUMBER(R51),10,0)+IF(ISNUMBER(R57),10,0)+IF(ISNUMBER(R63),10,0))=0,"",(IF(ISNUMBER(R5),R5*10,0)+IF(ISNUMBER(R11),R11*10,0)+IF(ISNUMBER(R17),R17*10,0)+IF(ISNUMBER(R23),R23*10,0)+IF(ISNUMBER(R31),R31*10,0)+IF(ISNUMBER(R37),R37*10,0)+IF(ISNUMBER(R43),R43*10,0)+IF(ISNUMBER(R51),R51*10,0)+IF(ISNUMBER(R57),R57*10,0)+IF(ISNUMBER(R63),R63*10,0))/(IF(ISNUMBER(R5),10,0)+IF(ISNUMBER(R11),10,0)+IF(ISNUMBER(R17),10,0)+IF(ISNUMBER(R23),10,0)+IF(ISNUMBER(R31),10,0)+IF(ISNUMBER(R37),10,0)+IF(ISNUMBER(R43),10,0)+IF(ISNUMBER(R51),10,0)+IF(ISNUMBER(R57),10,0)+IF(ISNUMBER(R63),10,0)))</f>
        <v/>
      </c>
      <c r="S70" s="41" t="str">
        <f>IF((IF(ISNUMBER(S5),10,0)+IF(ISNUMBER(S11),10,0)+IF(ISNUMBER(S17),10,0)+IF(ISNUMBER(S23),10,0)+IF(ISNUMBER(S31),10,0)+IF(ISNUMBER(S37),10,0)+IF(ISNUMBER(S43),10,0)+IF(ISNUMBER(S51),10,0)+IF(ISNUMBER(S57),10,0)+IF(ISNUMBER(S63),10,0))=0,"",(IF(ISNUMBER(S5),S5*10,0)+IF(ISNUMBER(S11),S11*10,0)+IF(ISNUMBER(S17),S17*10,0)+IF(ISNUMBER(S23),S23*10,0)+IF(ISNUMBER(S31),S31*10,0)+IF(ISNUMBER(S37),S37*10,0)+IF(ISNUMBER(S43),S43*10,0)+IF(ISNUMBER(S51),S51*10,0)+IF(ISNUMBER(S57),S57*10,0)+IF(ISNUMBER(S63),S63*10,0))/(IF(ISNUMBER(S5),10,0)+IF(ISNUMBER(S11),10,0)+IF(ISNUMBER(S17),10,0)+IF(ISNUMBER(S23),10,0)+IF(ISNUMBER(S31),10,0)+IF(ISNUMBER(S37),10,0)+IF(ISNUMBER(S43),10,0)+IF(ISNUMBER(S51),10,0)+IF(ISNUMBER(S57),10,0)+IF(ISNUMBER(S63),10,0)))</f>
        <v/>
      </c>
      <c r="T70" s="41" t="str">
        <f>IF((IF(ISNUMBER(T5),10,0)+IF(ISNUMBER(T11),10,0)+IF(ISNUMBER(T17),10,0)+IF(ISNUMBER(T23),10,0)+IF(ISNUMBER(T31),10,0)+IF(ISNUMBER(T37),10,0)+IF(ISNUMBER(T43),10,0)+IF(ISNUMBER(T51),10,0)+IF(ISNUMBER(T57),10,0)+IF(ISNUMBER(T63),10,0))=0,"",(IF(ISNUMBER(T5),T5*10,0)+IF(ISNUMBER(T11),T11*10,0)+IF(ISNUMBER(T17),T17*10,0)+IF(ISNUMBER(T23),T23*10,0)+IF(ISNUMBER(T31),T31*10,0)+IF(ISNUMBER(T37),T37*10,0)+IF(ISNUMBER(T43),T43*10,0)+IF(ISNUMBER(T51),T51*10,0)+IF(ISNUMBER(T57),T57*10,0)+IF(ISNUMBER(T63),T63*10,0))/(IF(ISNUMBER(T5),10,0)+IF(ISNUMBER(T11),10,0)+IF(ISNUMBER(T17),10,0)+IF(ISNUMBER(T23),10,0)+IF(ISNUMBER(T31),10,0)+IF(ISNUMBER(T37),10,0)+IF(ISNUMBER(T43),10,0)+IF(ISNUMBER(T51),10,0)+IF(ISNUMBER(T57),10,0)+IF(ISNUMBER(T63),10,0)))</f>
        <v/>
      </c>
      <c r="U70" s="41" t="str">
        <f>IF((IF(ISNUMBER(U5),10,0)+IF(ISNUMBER(U11),10,0)+IF(ISNUMBER(U17),10,0)+IF(ISNUMBER(U23),10,0)+IF(ISNUMBER(U31),10,0)+IF(ISNUMBER(U37),10,0)+IF(ISNUMBER(U43),10,0)+IF(ISNUMBER(U51),10,0)+IF(ISNUMBER(U57),10,0)+IF(ISNUMBER(U63),10,0))=0,"",(IF(ISNUMBER(U5),U5*10,0)+IF(ISNUMBER(U11),U11*10,0)+IF(ISNUMBER(U17),U17*10,0)+IF(ISNUMBER(U23),U23*10,0)+IF(ISNUMBER(U31),U31*10,0)+IF(ISNUMBER(U37),U37*10,0)+IF(ISNUMBER(U43),U43*10,0)+IF(ISNUMBER(U51),U51*10,0)+IF(ISNUMBER(U57),U57*10,0)+IF(ISNUMBER(U63),U63*10,0))/(IF(ISNUMBER(U5),10,0)+IF(ISNUMBER(U11),10,0)+IF(ISNUMBER(U17),10,0)+IF(ISNUMBER(U23),10,0)+IF(ISNUMBER(U31),10,0)+IF(ISNUMBER(U37),10,0)+IF(ISNUMBER(U43),10,0)+IF(ISNUMBER(U51),10,0)+IF(ISNUMBER(U57),10,0)+IF(ISNUMBER(U63),10,0)))</f>
        <v/>
      </c>
      <c r="V70" s="41" t="str">
        <f>IF((IF(ISNUMBER(V5),10,0)+IF(ISNUMBER(V11),10,0)+IF(ISNUMBER(V17),10,0)+IF(ISNUMBER(V23),10,0)+IF(ISNUMBER(V31),10,0)+IF(ISNUMBER(V37),10,0)+IF(ISNUMBER(V43),10,0)+IF(ISNUMBER(V51),10,0)+IF(ISNUMBER(V57),10,0)+IF(ISNUMBER(V63),10,0))=0,"",(IF(ISNUMBER(V5),V5*10,0)+IF(ISNUMBER(V11),V11*10,0)+IF(ISNUMBER(V17),V17*10,0)+IF(ISNUMBER(V23),V23*10,0)+IF(ISNUMBER(V31),V31*10,0)+IF(ISNUMBER(V37),V37*10,0)+IF(ISNUMBER(V43),V43*10,0)+IF(ISNUMBER(V51),V51*10,0)+IF(ISNUMBER(V57),V57*10,0)+IF(ISNUMBER(V63),V63*10,0))/(IF(ISNUMBER(V5),10,0)+IF(ISNUMBER(V11),10,0)+IF(ISNUMBER(V17),10,0)+IF(ISNUMBER(V23),10,0)+IF(ISNUMBER(V31),10,0)+IF(ISNUMBER(V37),10,0)+IF(ISNUMBER(V43),10,0)+IF(ISNUMBER(V51),10,0)+IF(ISNUMBER(V57),10,0)+IF(ISNUMBER(V63),10,0)))</f>
        <v/>
      </c>
      <c r="W70" s="41" t="str">
        <f>IF((IF(ISNUMBER(W5),10,0)+IF(ISNUMBER(W11),10,0)+IF(ISNUMBER(W17),10,0)+IF(ISNUMBER(W23),10,0)+IF(ISNUMBER(W31),10,0)+IF(ISNUMBER(W37),10,0)+IF(ISNUMBER(W43),10,0)+IF(ISNUMBER(W51),10,0)+IF(ISNUMBER(W57),10,0)+IF(ISNUMBER(W63),10,0))=0,"",(IF(ISNUMBER(W5),W5*10,0)+IF(ISNUMBER(W11),W11*10,0)+IF(ISNUMBER(W17),W17*10,0)+IF(ISNUMBER(W23),W23*10,0)+IF(ISNUMBER(W31),W31*10,0)+IF(ISNUMBER(W37),W37*10,0)+IF(ISNUMBER(W43),W43*10,0)+IF(ISNUMBER(W51),W51*10,0)+IF(ISNUMBER(W57),W57*10,0)+IF(ISNUMBER(W63),W63*10,0))/(IF(ISNUMBER(W5),10,0)+IF(ISNUMBER(W11),10,0)+IF(ISNUMBER(W17),10,0)+IF(ISNUMBER(W23),10,0)+IF(ISNUMBER(W31),10,0)+IF(ISNUMBER(W37),10,0)+IF(ISNUMBER(W43),10,0)+IF(ISNUMBER(W51),10,0)+IF(ISNUMBER(W57),10,0)+IF(ISNUMBER(W63),10,0)))</f>
        <v/>
      </c>
      <c r="X70" s="41" t="str">
        <f>IF((IF(ISNUMBER(X5),10,0)+IF(ISNUMBER(X11),10,0)+IF(ISNUMBER(X17),10,0)+IF(ISNUMBER(X23),10,0)+IF(ISNUMBER(X31),10,0)+IF(ISNUMBER(X37),10,0)+IF(ISNUMBER(X43),10,0)+IF(ISNUMBER(X51),10,0)+IF(ISNUMBER(X57),10,0)+IF(ISNUMBER(X63),10,0))=0,"",(IF(ISNUMBER(X5),X5*10,0)+IF(ISNUMBER(X11),X11*10,0)+IF(ISNUMBER(X17),X17*10,0)+IF(ISNUMBER(X23),X23*10,0)+IF(ISNUMBER(X31),X31*10,0)+IF(ISNUMBER(X37),X37*10,0)+IF(ISNUMBER(X43),X43*10,0)+IF(ISNUMBER(X51),X51*10,0)+IF(ISNUMBER(X57),X57*10,0)+IF(ISNUMBER(X63),X63*10,0))/(IF(ISNUMBER(X5),10,0)+IF(ISNUMBER(X11),10,0)+IF(ISNUMBER(X17),10,0)+IF(ISNUMBER(X23),10,0)+IF(ISNUMBER(X31),10,0)+IF(ISNUMBER(X37),10,0)+IF(ISNUMBER(X43),10,0)+IF(ISNUMBER(X51),10,0)+IF(ISNUMBER(X57),10,0)+IF(ISNUMBER(X63),10,0)))</f>
        <v/>
      </c>
      <c r="Y70" s="41" t="str">
        <f>IF((IF(ISNUMBER(Y5),10,0)+IF(ISNUMBER(Y11),10,0)+IF(ISNUMBER(Y17),10,0)+IF(ISNUMBER(Y23),10,0)+IF(ISNUMBER(Y31),10,0)+IF(ISNUMBER(Y37),10,0)+IF(ISNUMBER(Y43),10,0)+IF(ISNUMBER(Y51),10,0)+IF(ISNUMBER(Y57),10,0)+IF(ISNUMBER(Y63),10,0))=0,"",(IF(ISNUMBER(Y5),Y5*10,0)+IF(ISNUMBER(Y11),Y11*10,0)+IF(ISNUMBER(Y17),Y17*10,0)+IF(ISNUMBER(Y23),Y23*10,0)+IF(ISNUMBER(Y31),Y31*10,0)+IF(ISNUMBER(Y37),Y37*10,0)+IF(ISNUMBER(Y43),Y43*10,0)+IF(ISNUMBER(Y51),Y51*10,0)+IF(ISNUMBER(Y57),Y57*10,0)+IF(ISNUMBER(Y63),Y63*10,0))/(IF(ISNUMBER(Y5),10,0)+IF(ISNUMBER(Y11),10,0)+IF(ISNUMBER(Y17),10,0)+IF(ISNUMBER(Y23),10,0)+IF(ISNUMBER(Y31),10,0)+IF(ISNUMBER(Y37),10,0)+IF(ISNUMBER(Y43),10,0)+IF(ISNUMBER(Y51),10,0)+IF(ISNUMBER(Y57),10,0)+IF(ISNUMBER(Y63),10,0)))</f>
        <v/>
      </c>
      <c r="Z70" s="41" t="str">
        <f>_xlfn.IFERROR(AVERAGE(E70:Y70),"")</f>
        <v/>
      </c>
    </row>
  </sheetData>
  <mergeCells count="6">
    <mergeCell ref="A70:D70"/>
    <mergeCell ref="A50:Z50"/>
    <mergeCell ref="A1:Z1"/>
    <mergeCell ref="A4:Z4"/>
    <mergeCell ref="A30:Z30"/>
    <mergeCell ref="A2:Z2"/>
  </mergeCells>
  <conditionalFormatting sqref="E4:Y70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Z4:Z70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dataValidations count="50">
    <dataValidation allowBlank="1" type="list" errorStyle="stop" sqref="E32:Y32">
      <formula1>"Ya,Tidak"</formula1>
    </dataValidation>
    <dataValidation allowBlank="1" type="list" errorStyle="stop" sqref="E41:Y41">
      <formula1>"Ya,Tidak"</formula1>
    </dataValidation>
    <dataValidation allowBlank="1" type="list" errorStyle="stop" sqref="E35:Y35">
      <formula1>"Ya,Tidak"</formula1>
    </dataValidation>
    <dataValidation allowBlank="1" type="list" errorStyle="stop" sqref="E38:Y38">
      <formula1>"Ya,Tidak"</formula1>
    </dataValidation>
    <dataValidation allowBlank="1" type="list" errorStyle="stop" sqref="E6:Y6">
      <formula1>"Ya,Tidak"</formula1>
    </dataValidation>
    <dataValidation allowBlank="1" type="list" errorStyle="stop" sqref="E14:Y14">
      <formula1>"Ya,Tidak"</formula1>
    </dataValidation>
    <dataValidation allowBlank="1" type="list" errorStyle="stop" sqref="E12:Y12">
      <formula1>"Ya,Tidak"</formula1>
    </dataValidation>
    <dataValidation allowBlank="1" type="list" errorStyle="stop" sqref="E9:Y9">
      <formula1>"Ya,Tidak"</formula1>
    </dataValidation>
    <dataValidation allowBlank="1" type="list" errorStyle="stop" sqref="E34:Y34">
      <formula1>"Ya,Tidak"</formula1>
    </dataValidation>
    <dataValidation allowBlank="1" type="list" errorStyle="stop" sqref="E53:Y53">
      <formula1>"Ya,Tidak"</formula1>
    </dataValidation>
    <dataValidation allowBlank="1" type="list" errorStyle="stop" sqref="E10:Y10">
      <formula1>"Ya,Tidak"</formula1>
    </dataValidation>
    <dataValidation allowBlank="1" type="list" errorStyle="stop" sqref="E26:Y26">
      <formula1>"Ya,Tidak"</formula1>
    </dataValidation>
    <dataValidation allowBlank="1" type="list" errorStyle="stop" sqref="E18:Y18">
      <formula1>"Ya,Tidak"</formula1>
    </dataValidation>
    <dataValidation allowBlank="1" type="list" errorStyle="stop" sqref="E39:Y39">
      <formula1>"Ya,Tidak"</formula1>
    </dataValidation>
    <dataValidation allowBlank="1" type="list" errorStyle="stop" sqref="E7:Y7">
      <formula1>"Ya,Tidak"</formula1>
    </dataValidation>
    <dataValidation allowBlank="1" type="list" errorStyle="stop" sqref="E19:Y19">
      <formula1>"Ya,Tidak"</formula1>
    </dataValidation>
    <dataValidation allowBlank="1" type="list" errorStyle="stop" sqref="E16:Y16">
      <formula1>"Ya,Tidak"</formula1>
    </dataValidation>
    <dataValidation allowBlank="1" type="list" errorStyle="stop" sqref="E13:Y13">
      <formula1>"Ya,Tidak"</formula1>
    </dataValidation>
    <dataValidation allowBlank="1" type="list" errorStyle="stop" sqref="E47:Y47">
      <formula1>"Ya,Tidak"</formula1>
    </dataValidation>
    <dataValidation allowBlank="1" type="list" errorStyle="stop" sqref="E62:Y62">
      <formula1>"Ya,Tidak"</formula1>
    </dataValidation>
    <dataValidation allowBlank="1" type="list" errorStyle="stop" sqref="E59:Y59">
      <formula1>"Ya,Tidak"</formula1>
    </dataValidation>
    <dataValidation allowBlank="1" type="list" errorStyle="stop" sqref="E54:Y54">
      <formula1>"Ya,Tidak"</formula1>
    </dataValidation>
    <dataValidation allowBlank="1" type="list" errorStyle="stop" sqref="E52:Y52">
      <formula1>"Ya,Tidak"</formula1>
    </dataValidation>
    <dataValidation allowBlank="1" type="list" errorStyle="stop" sqref="E56:Y56">
      <formula1>"Ya,Tidak"</formula1>
    </dataValidation>
    <dataValidation allowBlank="1" type="list" errorStyle="stop" sqref="E61:Y61">
      <formula1>"Ya,Tidak"</formula1>
    </dataValidation>
    <dataValidation allowBlank="1" type="list" errorStyle="stop" sqref="E45:Y45">
      <formula1>"Ya,Tidak"</formula1>
    </dataValidation>
    <dataValidation allowBlank="1" type="list" errorStyle="stop" sqref="E60:Y60">
      <formula1>"Ya,Tidak"</formula1>
    </dataValidation>
    <dataValidation allowBlank="1" type="list" errorStyle="stop" sqref="E42:Y42">
      <formula1>"Ya,Tidak"</formula1>
    </dataValidation>
    <dataValidation allowBlank="1" type="list" errorStyle="stop" sqref="E58:Y58">
      <formula1>"Ya,Tidak"</formula1>
    </dataValidation>
    <dataValidation allowBlank="1" type="list" errorStyle="stop" sqref="E33:Y33">
      <formula1>"Ya,Tidak"</formula1>
    </dataValidation>
    <dataValidation allowBlank="1" type="list" errorStyle="stop" sqref="E46:Y46">
      <formula1>"Ya,Tidak"</formula1>
    </dataValidation>
    <dataValidation allowBlank="1" type="list" errorStyle="stop" sqref="E44:Y44">
      <formula1>"Ya,Tidak"</formula1>
    </dataValidation>
    <dataValidation allowBlank="1" type="list" errorStyle="stop" sqref="E36:Y36">
      <formula1>"Ya,Tidak"</formula1>
    </dataValidation>
    <dataValidation allowBlank="1" type="list" errorStyle="stop" sqref="E15:Y15">
      <formula1>"Ya,Tidak"</formula1>
    </dataValidation>
    <dataValidation allowBlank="1" type="list" errorStyle="stop" sqref="E28:Y28">
      <formula1>"Ya,Tidak"</formula1>
    </dataValidation>
    <dataValidation allowBlank="1" type="list" errorStyle="stop" sqref="E25:Y25">
      <formula1>"Ya,Tidak"</formula1>
    </dataValidation>
    <dataValidation allowBlank="1" type="list" errorStyle="stop" sqref="E22:Y22">
      <formula1>"Ya,Tidak"</formula1>
    </dataValidation>
    <dataValidation allowBlank="1" type="list" errorStyle="stop" sqref="E21:Y21">
      <formula1>"Ya,Tidak"</formula1>
    </dataValidation>
    <dataValidation allowBlank="1" type="list" errorStyle="stop" sqref="E20:Y20">
      <formula1>"Ya,Tidak"</formula1>
    </dataValidation>
    <dataValidation allowBlank="1" type="list" errorStyle="stop" sqref="E27:Y27">
      <formula1>"Ya,Tidak"</formula1>
    </dataValidation>
    <dataValidation allowBlank="1" type="list" errorStyle="stop" sqref="E40:Y40">
      <formula1>"Ya,Tidak"</formula1>
    </dataValidation>
    <dataValidation allowBlank="1" type="list" errorStyle="stop" sqref="E55:Y55">
      <formula1>"Ya,Tidak"</formula1>
    </dataValidation>
    <dataValidation allowBlank="1" type="list" errorStyle="stop" sqref="E64:Y64">
      <formula1>"Ya,Tidak"</formula1>
    </dataValidation>
    <dataValidation allowBlank="1" type="list" errorStyle="stop" sqref="E48:Y48">
      <formula1>"Ya,Tidak"</formula1>
    </dataValidation>
    <dataValidation allowBlank="1" type="list" errorStyle="stop" sqref="E65:Y65">
      <formula1>"Ya,Tidak"</formula1>
    </dataValidation>
    <dataValidation allowBlank="1" type="list" errorStyle="stop" sqref="E66:Y66">
      <formula1>"Ya,Tidak"</formula1>
    </dataValidation>
    <dataValidation allowBlank="1" type="list" errorStyle="stop" sqref="E67:Y67">
      <formula1>"Ya,Tidak"</formula1>
    </dataValidation>
    <dataValidation allowBlank="1" type="list" errorStyle="stop" sqref="E68:Y68">
      <formula1>"Ya,Tidak"</formula1>
    </dataValidation>
    <dataValidation allowBlank="1" type="list" errorStyle="stop" sqref="E8:Y8">
      <formula1>"Ya,Tidak"</formula1>
    </dataValidation>
    <dataValidation allowBlank="1" type="list" errorStyle="stop" sqref="E24:Y24">
      <formula1>"Ya,Tidak"</formula1>
    </dataValidation>
  </dataValidations>
  <pageMargins left="0.75" right="0.75" top="1.0" bottom="1.0" header="0.5" footer="0.5"/>
</worksheet>
</file>

<file path=xl/worksheets/sheet8.xml><?xml version="1.0" encoding="utf-8"?>
<worksheet xmlns:r="http://schemas.openxmlformats.org/officeDocument/2006/relationships" xmlns="http://schemas.openxmlformats.org/spreadsheetml/2006/main">
  <dimension ref="A1:AA136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62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8.0" customHeight="1">
      <c r="A1" s="1" t="s">
        <v>209</v>
      </c>
    </row>
    <row r="2" spans="8:8">
      <c r="A2" s="2" t="s">
        <v>30</v>
      </c>
    </row>
    <row r="3" spans="8:8" ht="30.0" customHeight="1">
      <c r="A3" s="6" t="s">
        <v>31</v>
      </c>
      <c r="B3" s="6" t="s">
        <v>23</v>
      </c>
      <c r="C3" s="6" t="s">
        <v>32</v>
      </c>
      <c r="D3" s="6" t="s">
        <v>33</v>
      </c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0.0" customHeight="1">
      <c r="A4" s="18" t="s">
        <v>210</v>
      </c>
    </row>
    <row r="5" spans="8:8" ht="40.0" customHeight="1">
      <c r="A5" s="28"/>
      <c r="B5" s="29" t="s">
        <v>211</v>
      </c>
      <c r="C5" s="30" t="s">
        <v>212</v>
      </c>
      <c r="D5" s="29">
        <v>6.7</v>
      </c>
      <c r="E5" s="31" t="str">
        <f>IF(COUNTA(E6:E10)=0,"",COUNTIF(E6:E10,"Ya")/5*100)</f>
        <v/>
      </c>
      <c r="F5" s="31" t="str">
        <f>IF(COUNTA(F6:F10)=0,"",COUNTIF(F6:F10,"Ya")/5*100)</f>
        <v/>
      </c>
      <c r="G5" s="31" t="str">
        <f>IF(COUNTA(G6:G10)=0,"",COUNTIF(G6:G10,"Ya")/5*100)</f>
        <v/>
      </c>
      <c r="H5" s="31" t="str">
        <f>IF(COUNTA(H6:H10)=0,"",COUNTIF(H6:H10,"Ya")/5*100)</f>
        <v/>
      </c>
      <c r="I5" s="31" t="str">
        <f>IF(COUNTA(I6:I10)=0,"",COUNTIF(I6:I10,"Ya")/5*100)</f>
        <v/>
      </c>
      <c r="J5" s="31" t="str">
        <f>IF(COUNTA(J6:J10)=0,"",COUNTIF(J6:J10,"Ya")/5*100)</f>
        <v/>
      </c>
      <c r="K5" s="31" t="str">
        <f>IF(COUNTA(K6:K10)=0,"",COUNTIF(K6:K10,"Ya")/5*100)</f>
        <v/>
      </c>
      <c r="L5" s="31" t="str">
        <f>IF(COUNTA(L6:L10)=0,"",COUNTIF(L6:L10,"Ya")/5*100)</f>
        <v/>
      </c>
      <c r="M5" s="31" t="str">
        <f>IF(COUNTA(M6:M10)=0,"",COUNTIF(M6:M10,"Ya")/5*100)</f>
        <v/>
      </c>
      <c r="N5" s="31" t="str">
        <f>IF(COUNTA(N6:N10)=0,"",COUNTIF(N6:N10,"Ya")/5*100)</f>
        <v/>
      </c>
      <c r="O5" s="31" t="str">
        <f>IF(COUNTA(O6:O10)=0,"",COUNTIF(O6:O10,"Ya")/5*100)</f>
        <v/>
      </c>
      <c r="P5" s="31" t="str">
        <f>IF(COUNTA(P6:P10)=0,"",COUNTIF(P6:P10,"Ya")/5*100)</f>
        <v/>
      </c>
      <c r="Q5" s="31" t="str">
        <f>IF(COUNTA(Q6:Q10)=0,"",COUNTIF(Q6:Q10,"Ya")/5*100)</f>
        <v/>
      </c>
      <c r="R5" s="31" t="str">
        <f>IF(COUNTA(R6:R10)=0,"",COUNTIF(R6:R10,"Ya")/5*100)</f>
        <v/>
      </c>
      <c r="S5" s="31" t="str">
        <f>IF(COUNTA(S6:S10)=0,"",COUNTIF(S6:S10,"Ya")/5*100)</f>
        <v/>
      </c>
      <c r="T5" s="31" t="str">
        <f>IF(COUNTA(T6:T10)=0,"",COUNTIF(T6:T10,"Ya")/5*100)</f>
        <v/>
      </c>
      <c r="U5" s="31" t="str">
        <f>IF(COUNTA(U6:U10)=0,"",COUNTIF(U6:U10,"Ya")/5*100)</f>
        <v/>
      </c>
      <c r="V5" s="31" t="str">
        <f>IF(COUNTA(V6:V10)=0,"",COUNTIF(V6:V10,"Ya")/5*100)</f>
        <v/>
      </c>
      <c r="W5" s="31" t="str">
        <f>IF(COUNTA(W6:W10)=0,"",COUNTIF(W6:W10,"Ya")/5*100)</f>
        <v/>
      </c>
      <c r="X5" s="31" t="str">
        <f>IF(COUNTA(X6:X10)=0,"",COUNTIF(X6:X10,"Ya")/5*100)</f>
        <v/>
      </c>
      <c r="Y5" s="31" t="str">
        <f>IF(COUNTA(Y6:Y10)=0,"",COUNTIF(Y6:Y10,"Ya")/5*100)</f>
        <v/>
      </c>
      <c r="Z5" s="31" t="str">
        <f>_xlfn.IFERROR(AVERAGE(E5:Y5),"")</f>
        <v/>
      </c>
    </row>
    <row r="6" spans="8:8" ht="25.0" customHeight="1">
      <c r="A6" s="32"/>
      <c r="B6" s="33" t="s">
        <v>213</v>
      </c>
      <c r="C6" s="34" t="s">
        <v>214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8:8" ht="25.0" customHeight="1">
      <c r="A7" s="32"/>
      <c r="B7" s="33" t="s">
        <v>215</v>
      </c>
      <c r="C7" s="34" t="s">
        <v>216</v>
      </c>
      <c r="D7" s="3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8:8" ht="25.0" customHeight="1">
      <c r="A8" s="32"/>
      <c r="B8" s="33" t="s">
        <v>217</v>
      </c>
      <c r="C8" s="34" t="s">
        <v>218</v>
      </c>
      <c r="D8" s="32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8:8" ht="25.0" customHeight="1">
      <c r="A9" s="32"/>
      <c r="B9" s="33" t="s">
        <v>219</v>
      </c>
      <c r="C9" s="34" t="s">
        <v>220</v>
      </c>
      <c r="D9" s="32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8:8" ht="25.0" customHeight="1">
      <c r="A10" s="32"/>
      <c r="B10" s="33" t="s">
        <v>221</v>
      </c>
      <c r="C10" s="34" t="s">
        <v>222</v>
      </c>
      <c r="D10" s="32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8:8" ht="40.0" customHeight="1">
      <c r="A11" s="28"/>
      <c r="B11" s="29" t="s">
        <v>223</v>
      </c>
      <c r="C11" s="30" t="s">
        <v>224</v>
      </c>
      <c r="D11" s="29">
        <v>6.7</v>
      </c>
      <c r="E11" s="31" t="str">
        <f>IF(COUNTA(E12:E16)=0,"",COUNTIF(E12:E16,"Ya")/5*100)</f>
        <v/>
      </c>
      <c r="F11" s="31" t="str">
        <f>IF(COUNTA(F12:F16)=0,"",COUNTIF(F12:F16,"Ya")/5*100)</f>
        <v/>
      </c>
      <c r="G11" s="31" t="str">
        <f>IF(COUNTA(G12:G16)=0,"",COUNTIF(G12:G16,"Ya")/5*100)</f>
        <v/>
      </c>
      <c r="H11" s="31" t="str">
        <f>IF(COUNTA(H12:H16)=0,"",COUNTIF(H12:H16,"Ya")/5*100)</f>
        <v/>
      </c>
      <c r="I11" s="31" t="str">
        <f>IF(COUNTA(I12:I16)=0,"",COUNTIF(I12:I16,"Ya")/5*100)</f>
        <v/>
      </c>
      <c r="J11" s="31" t="str">
        <f>IF(COUNTA(J12:J16)=0,"",COUNTIF(J12:J16,"Ya")/5*100)</f>
        <v/>
      </c>
      <c r="K11" s="31" t="str">
        <f>IF(COUNTA(K12:K16)=0,"",COUNTIF(K12:K16,"Ya")/5*100)</f>
        <v/>
      </c>
      <c r="L11" s="31" t="str">
        <f>IF(COUNTA(L12:L16)=0,"",COUNTIF(L12:L16,"Ya")/5*100)</f>
        <v/>
      </c>
      <c r="M11" s="31" t="str">
        <f>IF(COUNTA(M12:M16)=0,"",COUNTIF(M12:M16,"Ya")/5*100)</f>
        <v/>
      </c>
      <c r="N11" s="31" t="str">
        <f>IF(COUNTA(N12:N16)=0,"",COUNTIF(N12:N16,"Ya")/5*100)</f>
        <v/>
      </c>
      <c r="O11" s="31" t="str">
        <f>IF(COUNTA(O12:O16)=0,"",COUNTIF(O12:O16,"Ya")/5*100)</f>
        <v/>
      </c>
      <c r="P11" s="31" t="str">
        <f>IF(COUNTA(P12:P16)=0,"",COUNTIF(P12:P16,"Ya")/5*100)</f>
        <v/>
      </c>
      <c r="Q11" s="31" t="str">
        <f>IF(COUNTA(Q12:Q16)=0,"",COUNTIF(Q12:Q16,"Ya")/5*100)</f>
        <v/>
      </c>
      <c r="R11" s="31" t="str">
        <f>IF(COUNTA(R12:R16)=0,"",COUNTIF(R12:R16,"Ya")/5*100)</f>
        <v/>
      </c>
      <c r="S11" s="31" t="str">
        <f>IF(COUNTA(S12:S16)=0,"",COUNTIF(S12:S16,"Ya")/5*100)</f>
        <v/>
      </c>
      <c r="T11" s="31" t="str">
        <f>IF(COUNTA(T12:T16)=0,"",COUNTIF(T12:T16,"Ya")/5*100)</f>
        <v/>
      </c>
      <c r="U11" s="31" t="str">
        <f>IF(COUNTA(U12:U16)=0,"",COUNTIF(U12:U16,"Ya")/5*100)</f>
        <v/>
      </c>
      <c r="V11" s="31" t="str">
        <f>IF(COUNTA(V12:V16)=0,"",COUNTIF(V12:V16,"Ya")/5*100)</f>
        <v/>
      </c>
      <c r="W11" s="31" t="str">
        <f>IF(COUNTA(W12:W16)=0,"",COUNTIF(W12:W16,"Ya")/5*100)</f>
        <v/>
      </c>
      <c r="X11" s="31" t="str">
        <f>IF(COUNTA(X12:X16)=0,"",COUNTIF(X12:X16,"Ya")/5*100)</f>
        <v/>
      </c>
      <c r="Y11" s="31" t="str">
        <f>IF(COUNTA(Y12:Y16)=0,"",COUNTIF(Y12:Y16,"Ya")/5*100)</f>
        <v/>
      </c>
      <c r="Z11" s="31" t="str">
        <f>_xlfn.IFERROR(AVERAGE(E11:Y11),"")</f>
        <v/>
      </c>
    </row>
    <row r="12" spans="8:8" ht="14.0" customHeight="1">
      <c r="A12" s="32"/>
      <c r="B12" s="33" t="s">
        <v>225</v>
      </c>
      <c r="C12" s="34" t="s">
        <v>226</v>
      </c>
      <c r="D12" s="32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8:8" ht="25.0" customHeight="1">
      <c r="A13" s="32"/>
      <c r="B13" s="33" t="s">
        <v>227</v>
      </c>
      <c r="C13" s="34" t="s">
        <v>228</v>
      </c>
      <c r="D13" s="32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8:8" ht="25.0" customHeight="1">
      <c r="A14" s="32"/>
      <c r="B14" s="33" t="s">
        <v>229</v>
      </c>
      <c r="C14" s="34" t="s">
        <v>230</v>
      </c>
      <c r="D14" s="32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8:8" ht="25.0" customHeight="1">
      <c r="A15" s="32"/>
      <c r="B15" s="33" t="s">
        <v>231</v>
      </c>
      <c r="C15" s="34" t="s">
        <v>232</v>
      </c>
      <c r="D15" s="32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8:8" ht="25.0" customHeight="1">
      <c r="A16" s="32"/>
      <c r="B16" s="33" t="s">
        <v>233</v>
      </c>
      <c r="C16" s="34" t="s">
        <v>234</v>
      </c>
      <c r="D16" s="32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8:8" ht="40.0" customHeight="1">
      <c r="A17" s="28"/>
      <c r="B17" s="29" t="s">
        <v>235</v>
      </c>
      <c r="C17" s="30" t="s">
        <v>236</v>
      </c>
      <c r="D17" s="29">
        <v>6.6</v>
      </c>
      <c r="E17" s="31" t="str">
        <f>IF(COUNTA(E18:E22)=0,"",COUNTIF(E18:E22,"Ya")/5*100)</f>
        <v/>
      </c>
      <c r="F17" s="31" t="str">
        <f>IF(COUNTA(F18:F22)=0,"",COUNTIF(F18:F22,"Ya")/5*100)</f>
        <v/>
      </c>
      <c r="G17" s="31" t="str">
        <f>IF(COUNTA(G18:G22)=0,"",COUNTIF(G18:G22,"Ya")/5*100)</f>
        <v/>
      </c>
      <c r="H17" s="31" t="str">
        <f>IF(COUNTA(H18:H22)=0,"",COUNTIF(H18:H22,"Ya")/5*100)</f>
        <v/>
      </c>
      <c r="I17" s="31" t="str">
        <f>IF(COUNTA(I18:I22)=0,"",COUNTIF(I18:I22,"Ya")/5*100)</f>
        <v/>
      </c>
      <c r="J17" s="31" t="str">
        <f>IF(COUNTA(J18:J22)=0,"",COUNTIF(J18:J22,"Ya")/5*100)</f>
        <v/>
      </c>
      <c r="K17" s="31" t="str">
        <f>IF(COUNTA(K18:K22)=0,"",COUNTIF(K18:K22,"Ya")/5*100)</f>
        <v/>
      </c>
      <c r="L17" s="31" t="str">
        <f>IF(COUNTA(L18:L22)=0,"",COUNTIF(L18:L22,"Ya")/5*100)</f>
        <v/>
      </c>
      <c r="M17" s="31" t="str">
        <f>IF(COUNTA(M18:M22)=0,"",COUNTIF(M18:M22,"Ya")/5*100)</f>
        <v/>
      </c>
      <c r="N17" s="31" t="str">
        <f>IF(COUNTA(N18:N22)=0,"",COUNTIF(N18:N22,"Ya")/5*100)</f>
        <v/>
      </c>
      <c r="O17" s="31" t="str">
        <f>IF(COUNTA(O18:O22)=0,"",COUNTIF(O18:O22,"Ya")/5*100)</f>
        <v/>
      </c>
      <c r="P17" s="31" t="str">
        <f>IF(COUNTA(P18:P22)=0,"",COUNTIF(P18:P22,"Ya")/5*100)</f>
        <v/>
      </c>
      <c r="Q17" s="31" t="str">
        <f>IF(COUNTA(Q18:Q22)=0,"",COUNTIF(Q18:Q22,"Ya")/5*100)</f>
        <v/>
      </c>
      <c r="R17" s="31" t="str">
        <f>IF(COUNTA(R18:R22)=0,"",COUNTIF(R18:R22,"Ya")/5*100)</f>
        <v/>
      </c>
      <c r="S17" s="31" t="str">
        <f>IF(COUNTA(S18:S22)=0,"",COUNTIF(S18:S22,"Ya")/5*100)</f>
        <v/>
      </c>
      <c r="T17" s="31" t="str">
        <f>IF(COUNTA(T18:T22)=0,"",COUNTIF(T18:T22,"Ya")/5*100)</f>
        <v/>
      </c>
      <c r="U17" s="31" t="str">
        <f>IF(COUNTA(U18:U22)=0,"",COUNTIF(U18:U22,"Ya")/5*100)</f>
        <v/>
      </c>
      <c r="V17" s="31" t="str">
        <f>IF(COUNTA(V18:V22)=0,"",COUNTIF(V18:V22,"Ya")/5*100)</f>
        <v/>
      </c>
      <c r="W17" s="31" t="str">
        <f>IF(COUNTA(W18:W22)=0,"",COUNTIF(W18:W22,"Ya")/5*100)</f>
        <v/>
      </c>
      <c r="X17" s="31" t="str">
        <f>IF(COUNTA(X18:X22)=0,"",COUNTIF(X18:X22,"Ya")/5*100)</f>
        <v/>
      </c>
      <c r="Y17" s="31" t="str">
        <f>IF(COUNTA(Y18:Y22)=0,"",COUNTIF(Y18:Y22,"Ya")/5*100)</f>
        <v/>
      </c>
      <c r="Z17" s="31" t="str">
        <f>_xlfn.IFERROR(AVERAGE(E17:Y17),"")</f>
        <v/>
      </c>
    </row>
    <row r="18" spans="8:8" ht="25.0" customHeight="1">
      <c r="A18" s="32"/>
      <c r="B18" s="33" t="s">
        <v>237</v>
      </c>
      <c r="C18" s="34" t="s">
        <v>238</v>
      </c>
      <c r="D18" s="32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8:8" ht="25.0" customHeight="1">
      <c r="A19" s="32"/>
      <c r="B19" s="33" t="s">
        <v>239</v>
      </c>
      <c r="C19" s="34" t="s">
        <v>240</v>
      </c>
      <c r="D19" s="32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8:8" ht="25.0" customHeight="1">
      <c r="A20" s="32"/>
      <c r="B20" s="33" t="s">
        <v>241</v>
      </c>
      <c r="C20" s="34" t="s">
        <v>242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8:8" ht="25.0" customHeight="1">
      <c r="A21" s="32"/>
      <c r="B21" s="33" t="s">
        <v>243</v>
      </c>
      <c r="C21" s="34" t="s">
        <v>244</v>
      </c>
      <c r="D21" s="32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8:8" ht="25.0" customHeight="1">
      <c r="A22" s="32"/>
      <c r="B22" s="33" t="s">
        <v>245</v>
      </c>
      <c r="C22" s="34" t="s">
        <v>246</v>
      </c>
      <c r="D22" s="32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8:8" ht="18.0" customHeight="1">
      <c r="A23" s="36"/>
      <c r="B23" s="36"/>
      <c r="C23" s="37" t="s">
        <v>247</v>
      </c>
      <c r="D23" s="38">
        <v>20.0</v>
      </c>
      <c r="E23" s="39" t="str">
        <f>IF((IF(ISNUMBER(E5),6.7,0)+IF(ISNUMBER(E11),6.7,0)+IF(ISNUMBER(E17),6.6,0))=0,"",(IF(ISNUMBER(E5),E5*6.7,0)+IF(ISNUMBER(E11),E11*6.7,0)+IF(ISNUMBER(E17),E17*6.6,0))/(IF(ISNUMBER(E5),6.7,0)+IF(ISNUMBER(E11),6.7,0)+IF(ISNUMBER(E17),6.6,0)))</f>
        <v/>
      </c>
      <c r="F23" s="39" t="str">
        <f>IF((IF(ISNUMBER(F5),6.7,0)+IF(ISNUMBER(F11),6.7,0)+IF(ISNUMBER(F17),6.6,0))=0,"",(IF(ISNUMBER(F5),F5*6.7,0)+IF(ISNUMBER(F11),F11*6.7,0)+IF(ISNUMBER(F17),F17*6.6,0))/(IF(ISNUMBER(F5),6.7,0)+IF(ISNUMBER(F11),6.7,0)+IF(ISNUMBER(F17),6.6,0)))</f>
        <v/>
      </c>
      <c r="G23" s="39" t="str">
        <f>IF((IF(ISNUMBER(G5),6.7,0)+IF(ISNUMBER(G11),6.7,0)+IF(ISNUMBER(G17),6.6,0))=0,"",(IF(ISNUMBER(G5),G5*6.7,0)+IF(ISNUMBER(G11),G11*6.7,0)+IF(ISNUMBER(G17),G17*6.6,0))/(IF(ISNUMBER(G5),6.7,0)+IF(ISNUMBER(G11),6.7,0)+IF(ISNUMBER(G17),6.6,0)))</f>
        <v/>
      </c>
      <c r="H23" s="39" t="str">
        <f>IF((IF(ISNUMBER(H5),6.7,0)+IF(ISNUMBER(H11),6.7,0)+IF(ISNUMBER(H17),6.6,0))=0,"",(IF(ISNUMBER(H5),H5*6.7,0)+IF(ISNUMBER(H11),H11*6.7,0)+IF(ISNUMBER(H17),H17*6.6,0))/(IF(ISNUMBER(H5),6.7,0)+IF(ISNUMBER(H11),6.7,0)+IF(ISNUMBER(H17),6.6,0)))</f>
        <v/>
      </c>
      <c r="I23" s="39" t="str">
        <f>IF((IF(ISNUMBER(I5),6.7,0)+IF(ISNUMBER(I11),6.7,0)+IF(ISNUMBER(I17),6.6,0))=0,"",(IF(ISNUMBER(I5),I5*6.7,0)+IF(ISNUMBER(I11),I11*6.7,0)+IF(ISNUMBER(I17),I17*6.6,0))/(IF(ISNUMBER(I5),6.7,0)+IF(ISNUMBER(I11),6.7,0)+IF(ISNUMBER(I17),6.6,0)))</f>
        <v/>
      </c>
      <c r="J23" s="39" t="str">
        <f>IF((IF(ISNUMBER(J5),6.7,0)+IF(ISNUMBER(J11),6.7,0)+IF(ISNUMBER(J17),6.6,0))=0,"",(IF(ISNUMBER(J5),J5*6.7,0)+IF(ISNUMBER(J11),J11*6.7,0)+IF(ISNUMBER(J17),J17*6.6,0))/(IF(ISNUMBER(J5),6.7,0)+IF(ISNUMBER(J11),6.7,0)+IF(ISNUMBER(J17),6.6,0)))</f>
        <v/>
      </c>
      <c r="K23" s="39" t="str">
        <f>IF((IF(ISNUMBER(K5),6.7,0)+IF(ISNUMBER(K11),6.7,0)+IF(ISNUMBER(K17),6.6,0))=0,"",(IF(ISNUMBER(K5),K5*6.7,0)+IF(ISNUMBER(K11),K11*6.7,0)+IF(ISNUMBER(K17),K17*6.6,0))/(IF(ISNUMBER(K5),6.7,0)+IF(ISNUMBER(K11),6.7,0)+IF(ISNUMBER(K17),6.6,0)))</f>
        <v/>
      </c>
      <c r="L23" s="39" t="str">
        <f>IF((IF(ISNUMBER(L5),6.7,0)+IF(ISNUMBER(L11),6.7,0)+IF(ISNUMBER(L17),6.6,0))=0,"",(IF(ISNUMBER(L5),L5*6.7,0)+IF(ISNUMBER(L11),L11*6.7,0)+IF(ISNUMBER(L17),L17*6.6,0))/(IF(ISNUMBER(L5),6.7,0)+IF(ISNUMBER(L11),6.7,0)+IF(ISNUMBER(L17),6.6,0)))</f>
        <v/>
      </c>
      <c r="M23" s="39" t="str">
        <f>IF((IF(ISNUMBER(M5),6.7,0)+IF(ISNUMBER(M11),6.7,0)+IF(ISNUMBER(M17),6.6,0))=0,"",(IF(ISNUMBER(M5),M5*6.7,0)+IF(ISNUMBER(M11),M11*6.7,0)+IF(ISNUMBER(M17),M17*6.6,0))/(IF(ISNUMBER(M5),6.7,0)+IF(ISNUMBER(M11),6.7,0)+IF(ISNUMBER(M17),6.6,0)))</f>
        <v/>
      </c>
      <c r="N23" s="39" t="str">
        <f>IF((IF(ISNUMBER(N5),6.7,0)+IF(ISNUMBER(N11),6.7,0)+IF(ISNUMBER(N17),6.6,0))=0,"",(IF(ISNUMBER(N5),N5*6.7,0)+IF(ISNUMBER(N11),N11*6.7,0)+IF(ISNUMBER(N17),N17*6.6,0))/(IF(ISNUMBER(N5),6.7,0)+IF(ISNUMBER(N11),6.7,0)+IF(ISNUMBER(N17),6.6,0)))</f>
        <v/>
      </c>
      <c r="O23" s="39" t="str">
        <f>IF((IF(ISNUMBER(O5),6.7,0)+IF(ISNUMBER(O11),6.7,0)+IF(ISNUMBER(O17),6.6,0))=0,"",(IF(ISNUMBER(O5),O5*6.7,0)+IF(ISNUMBER(O11),O11*6.7,0)+IF(ISNUMBER(O17),O17*6.6,0))/(IF(ISNUMBER(O5),6.7,0)+IF(ISNUMBER(O11),6.7,0)+IF(ISNUMBER(O17),6.6,0)))</f>
        <v/>
      </c>
      <c r="P23" s="39" t="str">
        <f>IF((IF(ISNUMBER(P5),6.7,0)+IF(ISNUMBER(P11),6.7,0)+IF(ISNUMBER(P17),6.6,0))=0,"",(IF(ISNUMBER(P5),P5*6.7,0)+IF(ISNUMBER(P11),P11*6.7,0)+IF(ISNUMBER(P17),P17*6.6,0))/(IF(ISNUMBER(P5),6.7,0)+IF(ISNUMBER(P11),6.7,0)+IF(ISNUMBER(P17),6.6,0)))</f>
        <v/>
      </c>
      <c r="Q23" s="39" t="str">
        <f>IF((IF(ISNUMBER(Q5),6.7,0)+IF(ISNUMBER(Q11),6.7,0)+IF(ISNUMBER(Q17),6.6,0))=0,"",(IF(ISNUMBER(Q5),Q5*6.7,0)+IF(ISNUMBER(Q11),Q11*6.7,0)+IF(ISNUMBER(Q17),Q17*6.6,0))/(IF(ISNUMBER(Q5),6.7,0)+IF(ISNUMBER(Q11),6.7,0)+IF(ISNUMBER(Q17),6.6,0)))</f>
        <v/>
      </c>
      <c r="R23" s="39" t="str">
        <f>IF((IF(ISNUMBER(R5),6.7,0)+IF(ISNUMBER(R11),6.7,0)+IF(ISNUMBER(R17),6.6,0))=0,"",(IF(ISNUMBER(R5),R5*6.7,0)+IF(ISNUMBER(R11),R11*6.7,0)+IF(ISNUMBER(R17),R17*6.6,0))/(IF(ISNUMBER(R5),6.7,0)+IF(ISNUMBER(R11),6.7,0)+IF(ISNUMBER(R17),6.6,0)))</f>
        <v/>
      </c>
      <c r="S23" s="39" t="str">
        <f>IF((IF(ISNUMBER(S5),6.7,0)+IF(ISNUMBER(S11),6.7,0)+IF(ISNUMBER(S17),6.6,0))=0,"",(IF(ISNUMBER(S5),S5*6.7,0)+IF(ISNUMBER(S11),S11*6.7,0)+IF(ISNUMBER(S17),S17*6.6,0))/(IF(ISNUMBER(S5),6.7,0)+IF(ISNUMBER(S11),6.7,0)+IF(ISNUMBER(S17),6.6,0)))</f>
        <v/>
      </c>
      <c r="T23" s="39" t="str">
        <f>IF((IF(ISNUMBER(T5),6.7,0)+IF(ISNUMBER(T11),6.7,0)+IF(ISNUMBER(T17),6.6,0))=0,"",(IF(ISNUMBER(T5),T5*6.7,0)+IF(ISNUMBER(T11),T11*6.7,0)+IF(ISNUMBER(T17),T17*6.6,0))/(IF(ISNUMBER(T5),6.7,0)+IF(ISNUMBER(T11),6.7,0)+IF(ISNUMBER(T17),6.6,0)))</f>
        <v/>
      </c>
      <c r="U23" s="39" t="str">
        <f>IF((IF(ISNUMBER(U5),6.7,0)+IF(ISNUMBER(U11),6.7,0)+IF(ISNUMBER(U17),6.6,0))=0,"",(IF(ISNUMBER(U5),U5*6.7,0)+IF(ISNUMBER(U11),U11*6.7,0)+IF(ISNUMBER(U17),U17*6.6,0))/(IF(ISNUMBER(U5),6.7,0)+IF(ISNUMBER(U11),6.7,0)+IF(ISNUMBER(U17),6.6,0)))</f>
        <v/>
      </c>
      <c r="V23" s="39" t="str">
        <f>IF((IF(ISNUMBER(V5),6.7,0)+IF(ISNUMBER(V11),6.7,0)+IF(ISNUMBER(V17),6.6,0))=0,"",(IF(ISNUMBER(V5),V5*6.7,0)+IF(ISNUMBER(V11),V11*6.7,0)+IF(ISNUMBER(V17),V17*6.6,0))/(IF(ISNUMBER(V5),6.7,0)+IF(ISNUMBER(V11),6.7,0)+IF(ISNUMBER(V17),6.6,0)))</f>
        <v/>
      </c>
      <c r="W23" s="39" t="str">
        <f>IF((IF(ISNUMBER(W5),6.7,0)+IF(ISNUMBER(W11),6.7,0)+IF(ISNUMBER(W17),6.6,0))=0,"",(IF(ISNUMBER(W5),W5*6.7,0)+IF(ISNUMBER(W11),W11*6.7,0)+IF(ISNUMBER(W17),W17*6.6,0))/(IF(ISNUMBER(W5),6.7,0)+IF(ISNUMBER(W11),6.7,0)+IF(ISNUMBER(W17),6.6,0)))</f>
        <v/>
      </c>
      <c r="X23" s="39" t="str">
        <f>IF((IF(ISNUMBER(X5),6.7,0)+IF(ISNUMBER(X11),6.7,0)+IF(ISNUMBER(X17),6.6,0))=0,"",(IF(ISNUMBER(X5),X5*6.7,0)+IF(ISNUMBER(X11),X11*6.7,0)+IF(ISNUMBER(X17),X17*6.6,0))/(IF(ISNUMBER(X5),6.7,0)+IF(ISNUMBER(X11),6.7,0)+IF(ISNUMBER(X17),6.6,0)))</f>
        <v/>
      </c>
      <c r="Y23" s="39" t="str">
        <f>IF((IF(ISNUMBER(Y5),6.7,0)+IF(ISNUMBER(Y11),6.7,0)+IF(ISNUMBER(Y17),6.6,0))=0,"",(IF(ISNUMBER(Y5),Y5*6.7,0)+IF(ISNUMBER(Y11),Y11*6.7,0)+IF(ISNUMBER(Y17),Y17*6.6,0))/(IF(ISNUMBER(Y5),6.7,0)+IF(ISNUMBER(Y11),6.7,0)+IF(ISNUMBER(Y17),6.6,0)))</f>
        <v/>
      </c>
      <c r="Z23" s="39" t="str">
        <f>_xlfn.IFERROR(AVERAGE(E23:Y23),"")</f>
        <v/>
      </c>
    </row>
    <row r="24" spans="8:8" ht="20.0" customHeight="1">
      <c r="A24" s="18" t="s">
        <v>248</v>
      </c>
    </row>
    <row r="25" spans="8:8" ht="40.0" customHeight="1">
      <c r="A25" s="28"/>
      <c r="B25" s="29" t="s">
        <v>249</v>
      </c>
      <c r="C25" s="30" t="s">
        <v>250</v>
      </c>
      <c r="D25" s="29">
        <v>6.7</v>
      </c>
      <c r="E25" s="31" t="str">
        <f>IF(COUNTA(E26:E30)=0,"",COUNTIF(E26:E30,"Ya")/5*100)</f>
        <v/>
      </c>
      <c r="F25" s="31" t="str">
        <f>IF(COUNTA(F26:F30)=0,"",COUNTIF(F26:F30,"Ya")/5*100)</f>
        <v/>
      </c>
      <c r="G25" s="31" t="str">
        <f>IF(COUNTA(G26:G30)=0,"",COUNTIF(G26:G30,"Ya")/5*100)</f>
        <v/>
      </c>
      <c r="H25" s="31" t="str">
        <f>IF(COUNTA(H26:H30)=0,"",COUNTIF(H26:H30,"Ya")/5*100)</f>
        <v/>
      </c>
      <c r="I25" s="31" t="str">
        <f>IF(COUNTA(I26:I30)=0,"",COUNTIF(I26:I30,"Ya")/5*100)</f>
        <v/>
      </c>
      <c r="J25" s="31" t="str">
        <f>IF(COUNTA(J26:J30)=0,"",COUNTIF(J26:J30,"Ya")/5*100)</f>
        <v/>
      </c>
      <c r="K25" s="31" t="str">
        <f>IF(COUNTA(K26:K30)=0,"",COUNTIF(K26:K30,"Ya")/5*100)</f>
        <v/>
      </c>
      <c r="L25" s="31" t="str">
        <f>IF(COUNTA(L26:L30)=0,"",COUNTIF(L26:L30,"Ya")/5*100)</f>
        <v/>
      </c>
      <c r="M25" s="31" t="str">
        <f>IF(COUNTA(M26:M30)=0,"",COUNTIF(M26:M30,"Ya")/5*100)</f>
        <v/>
      </c>
      <c r="N25" s="31" t="str">
        <f>IF(COUNTA(N26:N30)=0,"",COUNTIF(N26:N30,"Ya")/5*100)</f>
        <v/>
      </c>
      <c r="O25" s="31" t="str">
        <f>IF(COUNTA(O26:O30)=0,"",COUNTIF(O26:O30,"Ya")/5*100)</f>
        <v/>
      </c>
      <c r="P25" s="31" t="str">
        <f>IF(COUNTA(P26:P30)=0,"",COUNTIF(P26:P30,"Ya")/5*100)</f>
        <v/>
      </c>
      <c r="Q25" s="31" t="str">
        <f>IF(COUNTA(Q26:Q30)=0,"",COUNTIF(Q26:Q30,"Ya")/5*100)</f>
        <v/>
      </c>
      <c r="R25" s="31" t="str">
        <f>IF(COUNTA(R26:R30)=0,"",COUNTIF(R26:R30,"Ya")/5*100)</f>
        <v/>
      </c>
      <c r="S25" s="31" t="str">
        <f>IF(COUNTA(S26:S30)=0,"",COUNTIF(S26:S30,"Ya")/5*100)</f>
        <v/>
      </c>
      <c r="T25" s="31" t="str">
        <f>IF(COUNTA(T26:T30)=0,"",COUNTIF(T26:T30,"Ya")/5*100)</f>
        <v/>
      </c>
      <c r="U25" s="31" t="str">
        <f>IF(COUNTA(U26:U30)=0,"",COUNTIF(U26:U30,"Ya")/5*100)</f>
        <v/>
      </c>
      <c r="V25" s="31" t="str">
        <f>IF(COUNTA(V26:V30)=0,"",COUNTIF(V26:V30,"Ya")/5*100)</f>
        <v/>
      </c>
      <c r="W25" s="31" t="str">
        <f>IF(COUNTA(W26:W30)=0,"",COUNTIF(W26:W30,"Ya")/5*100)</f>
        <v/>
      </c>
      <c r="X25" s="31" t="str">
        <f>IF(COUNTA(X26:X30)=0,"",COUNTIF(X26:X30,"Ya")/5*100)</f>
        <v/>
      </c>
      <c r="Y25" s="31" t="str">
        <f>IF(COUNTA(Y26:Y30)=0,"",COUNTIF(Y26:Y30,"Ya")/5*100)</f>
        <v/>
      </c>
      <c r="Z25" s="31" t="str">
        <f>_xlfn.IFERROR(AVERAGE(E25:Y25),"")</f>
        <v/>
      </c>
    </row>
    <row r="26" spans="8:8" ht="25.0" customHeight="1">
      <c r="A26" s="32"/>
      <c r="B26" s="33" t="s">
        <v>251</v>
      </c>
      <c r="C26" s="34" t="s">
        <v>252</v>
      </c>
      <c r="D26" s="32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8:8" ht="25.0" customHeight="1">
      <c r="A27" s="32"/>
      <c r="B27" s="33" t="s">
        <v>253</v>
      </c>
      <c r="C27" s="34" t="s">
        <v>254</v>
      </c>
      <c r="D27" s="32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8:8" ht="14.0" customHeight="1">
      <c r="A28" s="32"/>
      <c r="B28" s="33" t="s">
        <v>255</v>
      </c>
      <c r="C28" s="34" t="s">
        <v>256</v>
      </c>
      <c r="D28" s="32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8:8" ht="25.0" customHeight="1">
      <c r="A29" s="32"/>
      <c r="B29" s="33" t="s">
        <v>257</v>
      </c>
      <c r="C29" s="34" t="s">
        <v>258</v>
      </c>
      <c r="D29" s="32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spans="8:8" ht="25.0" customHeight="1">
      <c r="A30" s="32"/>
      <c r="B30" s="33" t="s">
        <v>259</v>
      </c>
      <c r="C30" s="34" t="s">
        <v>260</v>
      </c>
      <c r="D30" s="32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8:8" ht="40.0" customHeight="1">
      <c r="A31" s="28"/>
      <c r="B31" s="29" t="s">
        <v>261</v>
      </c>
      <c r="C31" s="30" t="s">
        <v>262</v>
      </c>
      <c r="D31" s="29">
        <v>6.7</v>
      </c>
      <c r="E31" s="31" t="str">
        <f>IF(COUNTA(E32:E36)=0,"",COUNTIF(E32:E36,"Ya")/5*100)</f>
        <v/>
      </c>
      <c r="F31" s="31" t="str">
        <f>IF(COUNTA(F32:F36)=0,"",COUNTIF(F32:F36,"Ya")/5*100)</f>
        <v/>
      </c>
      <c r="G31" s="31" t="str">
        <f>IF(COUNTA(G32:G36)=0,"",COUNTIF(G32:G36,"Ya")/5*100)</f>
        <v/>
      </c>
      <c r="H31" s="31" t="str">
        <f>IF(COUNTA(H32:H36)=0,"",COUNTIF(H32:H36,"Ya")/5*100)</f>
        <v/>
      </c>
      <c r="I31" s="31" t="str">
        <f>IF(COUNTA(I32:I36)=0,"",COUNTIF(I32:I36,"Ya")/5*100)</f>
        <v/>
      </c>
      <c r="J31" s="31" t="str">
        <f>IF(COUNTA(J32:J36)=0,"",COUNTIF(J32:J36,"Ya")/5*100)</f>
        <v/>
      </c>
      <c r="K31" s="31" t="str">
        <f>IF(COUNTA(K32:K36)=0,"",COUNTIF(K32:K36,"Ya")/5*100)</f>
        <v/>
      </c>
      <c r="L31" s="31" t="str">
        <f>IF(COUNTA(L32:L36)=0,"",COUNTIF(L32:L36,"Ya")/5*100)</f>
        <v/>
      </c>
      <c r="M31" s="31" t="str">
        <f>IF(COUNTA(M32:M36)=0,"",COUNTIF(M32:M36,"Ya")/5*100)</f>
        <v/>
      </c>
      <c r="N31" s="31" t="str">
        <f>IF(COUNTA(N32:N36)=0,"",COUNTIF(N32:N36,"Ya")/5*100)</f>
        <v/>
      </c>
      <c r="O31" s="31" t="str">
        <f>IF(COUNTA(O32:O36)=0,"",COUNTIF(O32:O36,"Ya")/5*100)</f>
        <v/>
      </c>
      <c r="P31" s="31" t="str">
        <f>IF(COUNTA(P32:P36)=0,"",COUNTIF(P32:P36,"Ya")/5*100)</f>
        <v/>
      </c>
      <c r="Q31" s="31" t="str">
        <f>IF(COUNTA(Q32:Q36)=0,"",COUNTIF(Q32:Q36,"Ya")/5*100)</f>
        <v/>
      </c>
      <c r="R31" s="31" t="str">
        <f>IF(COUNTA(R32:R36)=0,"",COUNTIF(R32:R36,"Ya")/5*100)</f>
        <v/>
      </c>
      <c r="S31" s="31" t="str">
        <f>IF(COUNTA(S32:S36)=0,"",COUNTIF(S32:S36,"Ya")/5*100)</f>
        <v/>
      </c>
      <c r="T31" s="31" t="str">
        <f>IF(COUNTA(T32:T36)=0,"",COUNTIF(T32:T36,"Ya")/5*100)</f>
        <v/>
      </c>
      <c r="U31" s="31" t="str">
        <f>IF(COUNTA(U32:U36)=0,"",COUNTIF(U32:U36,"Ya")/5*100)</f>
        <v/>
      </c>
      <c r="V31" s="31" t="str">
        <f>IF(COUNTA(V32:V36)=0,"",COUNTIF(V32:V36,"Ya")/5*100)</f>
        <v/>
      </c>
      <c r="W31" s="31" t="str">
        <f>IF(COUNTA(W32:W36)=0,"",COUNTIF(W32:W36,"Ya")/5*100)</f>
        <v/>
      </c>
      <c r="X31" s="31" t="str">
        <f>IF(COUNTA(X32:X36)=0,"",COUNTIF(X32:X36,"Ya")/5*100)</f>
        <v/>
      </c>
      <c r="Y31" s="31" t="str">
        <f>IF(COUNTA(Y32:Y36)=0,"",COUNTIF(Y32:Y36,"Ya")/5*100)</f>
        <v/>
      </c>
      <c r="Z31" s="31" t="str">
        <f>_xlfn.IFERROR(AVERAGE(E31:Y31),"")</f>
        <v/>
      </c>
    </row>
    <row r="32" spans="8:8" ht="25.0" customHeight="1">
      <c r="A32" s="32"/>
      <c r="B32" s="33" t="s">
        <v>263</v>
      </c>
      <c r="C32" s="34" t="s">
        <v>264</v>
      </c>
      <c r="D32" s="32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8:8" ht="25.0" customHeight="1">
      <c r="A33" s="32"/>
      <c r="B33" s="33" t="s">
        <v>265</v>
      </c>
      <c r="C33" s="34" t="s">
        <v>266</v>
      </c>
      <c r="D33" s="32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8:8" ht="25.0" customHeight="1">
      <c r="A34" s="32"/>
      <c r="B34" s="33" t="s">
        <v>267</v>
      </c>
      <c r="C34" s="34" t="s">
        <v>268</v>
      </c>
      <c r="D34" s="32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8:8" ht="25.0" customHeight="1">
      <c r="A35" s="32"/>
      <c r="B35" s="33" t="s">
        <v>269</v>
      </c>
      <c r="C35" s="34" t="s">
        <v>270</v>
      </c>
      <c r="D35" s="32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8:8" ht="25.0" customHeight="1">
      <c r="A36" s="32"/>
      <c r="B36" s="33" t="s">
        <v>271</v>
      </c>
      <c r="C36" s="34" t="s">
        <v>272</v>
      </c>
      <c r="D36" s="32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8:8" ht="28.0" customHeight="1">
      <c r="A37" s="28"/>
      <c r="B37" s="29" t="s">
        <v>273</v>
      </c>
      <c r="C37" s="30" t="s">
        <v>274</v>
      </c>
      <c r="D37" s="29">
        <v>6.6</v>
      </c>
      <c r="E37" s="31" t="str">
        <f>IF(COUNTA(E38:E42)=0,"",COUNTIF(E38:E42,"Ya")/5*100)</f>
        <v/>
      </c>
      <c r="F37" s="31" t="str">
        <f>IF(COUNTA(F38:F42)=0,"",COUNTIF(F38:F42,"Ya")/5*100)</f>
        <v/>
      </c>
      <c r="G37" s="31" t="str">
        <f>IF(COUNTA(G38:G42)=0,"",COUNTIF(G38:G42,"Ya")/5*100)</f>
        <v/>
      </c>
      <c r="H37" s="31" t="str">
        <f>IF(COUNTA(H38:H42)=0,"",COUNTIF(H38:H42,"Ya")/5*100)</f>
        <v/>
      </c>
      <c r="I37" s="31" t="str">
        <f>IF(COUNTA(I38:I42)=0,"",COUNTIF(I38:I42,"Ya")/5*100)</f>
        <v/>
      </c>
      <c r="J37" s="31" t="str">
        <f>IF(COUNTA(J38:J42)=0,"",COUNTIF(J38:J42,"Ya")/5*100)</f>
        <v/>
      </c>
      <c r="K37" s="31" t="str">
        <f>IF(COUNTA(K38:K42)=0,"",COUNTIF(K38:K42,"Ya")/5*100)</f>
        <v/>
      </c>
      <c r="L37" s="31" t="str">
        <f>IF(COUNTA(L38:L42)=0,"",COUNTIF(L38:L42,"Ya")/5*100)</f>
        <v/>
      </c>
      <c r="M37" s="31" t="str">
        <f>IF(COUNTA(M38:M42)=0,"",COUNTIF(M38:M42,"Ya")/5*100)</f>
        <v/>
      </c>
      <c r="N37" s="31" t="str">
        <f>IF(COUNTA(N38:N42)=0,"",COUNTIF(N38:N42,"Ya")/5*100)</f>
        <v/>
      </c>
      <c r="O37" s="31" t="str">
        <f>IF(COUNTA(O38:O42)=0,"",COUNTIF(O38:O42,"Ya")/5*100)</f>
        <v/>
      </c>
      <c r="P37" s="31" t="str">
        <f>IF(COUNTA(P38:P42)=0,"",COUNTIF(P38:P42,"Ya")/5*100)</f>
        <v/>
      </c>
      <c r="Q37" s="31" t="str">
        <f>IF(COUNTA(Q38:Q42)=0,"",COUNTIF(Q38:Q42,"Ya")/5*100)</f>
        <v/>
      </c>
      <c r="R37" s="31" t="str">
        <f>IF(COUNTA(R38:R42)=0,"",COUNTIF(R38:R42,"Ya")/5*100)</f>
        <v/>
      </c>
      <c r="S37" s="31" t="str">
        <f>IF(COUNTA(S38:S42)=0,"",COUNTIF(S38:S42,"Ya")/5*100)</f>
        <v/>
      </c>
      <c r="T37" s="31" t="str">
        <f>IF(COUNTA(T38:T42)=0,"",COUNTIF(T38:T42,"Ya")/5*100)</f>
        <v/>
      </c>
      <c r="U37" s="31" t="str">
        <f>IF(COUNTA(U38:U42)=0,"",COUNTIF(U38:U42,"Ya")/5*100)</f>
        <v/>
      </c>
      <c r="V37" s="31" t="str">
        <f>IF(COUNTA(V38:V42)=0,"",COUNTIF(V38:V42,"Ya")/5*100)</f>
        <v/>
      </c>
      <c r="W37" s="31" t="str">
        <f>IF(COUNTA(W38:W42)=0,"",COUNTIF(W38:W42,"Ya")/5*100)</f>
        <v/>
      </c>
      <c r="X37" s="31" t="str">
        <f>IF(COUNTA(X38:X42)=0,"",COUNTIF(X38:X42,"Ya")/5*100)</f>
        <v/>
      </c>
      <c r="Y37" s="31" t="str">
        <f>IF(COUNTA(Y38:Y42)=0,"",COUNTIF(Y38:Y42,"Ya")/5*100)</f>
        <v/>
      </c>
      <c r="Z37" s="31" t="str">
        <f>_xlfn.IFERROR(AVERAGE(E37:Y37),"")</f>
        <v/>
      </c>
    </row>
    <row r="38" spans="8:8" ht="14.0" customHeight="1">
      <c r="A38" s="32"/>
      <c r="B38" s="33" t="s">
        <v>275</v>
      </c>
      <c r="C38" s="34" t="s">
        <v>276</v>
      </c>
      <c r="D38" s="32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8:8" ht="25.0" customHeight="1">
      <c r="A39" s="32"/>
      <c r="B39" s="33" t="s">
        <v>277</v>
      </c>
      <c r="C39" s="34" t="s">
        <v>278</v>
      </c>
      <c r="D39" s="32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8:8" ht="25.0" customHeight="1">
      <c r="A40" s="32"/>
      <c r="B40" s="33" t="s">
        <v>279</v>
      </c>
      <c r="C40" s="34" t="s">
        <v>280</v>
      </c>
      <c r="D40" s="32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8:8" ht="25.0" customHeight="1">
      <c r="A41" s="32"/>
      <c r="B41" s="33" t="s">
        <v>281</v>
      </c>
      <c r="C41" s="34" t="s">
        <v>282</v>
      </c>
      <c r="D41" s="32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8:8" ht="25.0" customHeight="1">
      <c r="A42" s="32"/>
      <c r="B42" s="33" t="s">
        <v>283</v>
      </c>
      <c r="C42" s="34" t="s">
        <v>284</v>
      </c>
      <c r="D42" s="32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8:8" ht="18.0" customHeight="1">
      <c r="A43" s="36"/>
      <c r="B43" s="36"/>
      <c r="C43" s="37" t="s">
        <v>285</v>
      </c>
      <c r="D43" s="38">
        <v>20.0</v>
      </c>
      <c r="E43" s="39" t="str">
        <f>IF((IF(ISNUMBER(E25),6.7,0)+IF(ISNUMBER(E31),6.7,0)+IF(ISNUMBER(E37),6.6,0))=0,"",(IF(ISNUMBER(E25),E25*6.7,0)+IF(ISNUMBER(E31),E31*6.7,0)+IF(ISNUMBER(E37),E37*6.6,0))/(IF(ISNUMBER(E25),6.7,0)+IF(ISNUMBER(E31),6.7,0)+IF(ISNUMBER(E37),6.6,0)))</f>
        <v/>
      </c>
      <c r="F43" s="39" t="str">
        <f>IF((IF(ISNUMBER(F25),6.7,0)+IF(ISNUMBER(F31),6.7,0)+IF(ISNUMBER(F37),6.6,0))=0,"",(IF(ISNUMBER(F25),F25*6.7,0)+IF(ISNUMBER(F31),F31*6.7,0)+IF(ISNUMBER(F37),F37*6.6,0))/(IF(ISNUMBER(F25),6.7,0)+IF(ISNUMBER(F31),6.7,0)+IF(ISNUMBER(F37),6.6,0)))</f>
        <v/>
      </c>
      <c r="G43" s="39" t="str">
        <f>IF((IF(ISNUMBER(G25),6.7,0)+IF(ISNUMBER(G31),6.7,0)+IF(ISNUMBER(G37),6.6,0))=0,"",(IF(ISNUMBER(G25),G25*6.7,0)+IF(ISNUMBER(G31),G31*6.7,0)+IF(ISNUMBER(G37),G37*6.6,0))/(IF(ISNUMBER(G25),6.7,0)+IF(ISNUMBER(G31),6.7,0)+IF(ISNUMBER(G37),6.6,0)))</f>
        <v/>
      </c>
      <c r="H43" s="39" t="str">
        <f>IF((IF(ISNUMBER(H25),6.7,0)+IF(ISNUMBER(H31),6.7,0)+IF(ISNUMBER(H37),6.6,0))=0,"",(IF(ISNUMBER(H25),H25*6.7,0)+IF(ISNUMBER(H31),H31*6.7,0)+IF(ISNUMBER(H37),H37*6.6,0))/(IF(ISNUMBER(H25),6.7,0)+IF(ISNUMBER(H31),6.7,0)+IF(ISNUMBER(H37),6.6,0)))</f>
        <v/>
      </c>
      <c r="I43" s="39" t="str">
        <f>IF((IF(ISNUMBER(I25),6.7,0)+IF(ISNUMBER(I31),6.7,0)+IF(ISNUMBER(I37),6.6,0))=0,"",(IF(ISNUMBER(I25),I25*6.7,0)+IF(ISNUMBER(I31),I31*6.7,0)+IF(ISNUMBER(I37),I37*6.6,0))/(IF(ISNUMBER(I25),6.7,0)+IF(ISNUMBER(I31),6.7,0)+IF(ISNUMBER(I37),6.6,0)))</f>
        <v/>
      </c>
      <c r="J43" s="39" t="str">
        <f>IF((IF(ISNUMBER(J25),6.7,0)+IF(ISNUMBER(J31),6.7,0)+IF(ISNUMBER(J37),6.6,0))=0,"",(IF(ISNUMBER(J25),J25*6.7,0)+IF(ISNUMBER(J31),J31*6.7,0)+IF(ISNUMBER(J37),J37*6.6,0))/(IF(ISNUMBER(J25),6.7,0)+IF(ISNUMBER(J31),6.7,0)+IF(ISNUMBER(J37),6.6,0)))</f>
        <v/>
      </c>
      <c r="K43" s="39" t="str">
        <f>IF((IF(ISNUMBER(K25),6.7,0)+IF(ISNUMBER(K31),6.7,0)+IF(ISNUMBER(K37),6.6,0))=0,"",(IF(ISNUMBER(K25),K25*6.7,0)+IF(ISNUMBER(K31),K31*6.7,0)+IF(ISNUMBER(K37),K37*6.6,0))/(IF(ISNUMBER(K25),6.7,0)+IF(ISNUMBER(K31),6.7,0)+IF(ISNUMBER(K37),6.6,0)))</f>
        <v/>
      </c>
      <c r="L43" s="39" t="str">
        <f>IF((IF(ISNUMBER(L25),6.7,0)+IF(ISNUMBER(L31),6.7,0)+IF(ISNUMBER(L37),6.6,0))=0,"",(IF(ISNUMBER(L25),L25*6.7,0)+IF(ISNUMBER(L31),L31*6.7,0)+IF(ISNUMBER(L37),L37*6.6,0))/(IF(ISNUMBER(L25),6.7,0)+IF(ISNUMBER(L31),6.7,0)+IF(ISNUMBER(L37),6.6,0)))</f>
        <v/>
      </c>
      <c r="M43" s="39" t="str">
        <f>IF((IF(ISNUMBER(M25),6.7,0)+IF(ISNUMBER(M31),6.7,0)+IF(ISNUMBER(M37),6.6,0))=0,"",(IF(ISNUMBER(M25),M25*6.7,0)+IF(ISNUMBER(M31),M31*6.7,0)+IF(ISNUMBER(M37),M37*6.6,0))/(IF(ISNUMBER(M25),6.7,0)+IF(ISNUMBER(M31),6.7,0)+IF(ISNUMBER(M37),6.6,0)))</f>
        <v/>
      </c>
      <c r="N43" s="39" t="str">
        <f>IF((IF(ISNUMBER(N25),6.7,0)+IF(ISNUMBER(N31),6.7,0)+IF(ISNUMBER(N37),6.6,0))=0,"",(IF(ISNUMBER(N25),N25*6.7,0)+IF(ISNUMBER(N31),N31*6.7,0)+IF(ISNUMBER(N37),N37*6.6,0))/(IF(ISNUMBER(N25),6.7,0)+IF(ISNUMBER(N31),6.7,0)+IF(ISNUMBER(N37),6.6,0)))</f>
        <v/>
      </c>
      <c r="O43" s="39" t="str">
        <f>IF((IF(ISNUMBER(O25),6.7,0)+IF(ISNUMBER(O31),6.7,0)+IF(ISNUMBER(O37),6.6,0))=0,"",(IF(ISNUMBER(O25),O25*6.7,0)+IF(ISNUMBER(O31),O31*6.7,0)+IF(ISNUMBER(O37),O37*6.6,0))/(IF(ISNUMBER(O25),6.7,0)+IF(ISNUMBER(O31),6.7,0)+IF(ISNUMBER(O37),6.6,0)))</f>
        <v/>
      </c>
      <c r="P43" s="39" t="str">
        <f>IF((IF(ISNUMBER(P25),6.7,0)+IF(ISNUMBER(P31),6.7,0)+IF(ISNUMBER(P37),6.6,0))=0,"",(IF(ISNUMBER(P25),P25*6.7,0)+IF(ISNUMBER(P31),P31*6.7,0)+IF(ISNUMBER(P37),P37*6.6,0))/(IF(ISNUMBER(P25),6.7,0)+IF(ISNUMBER(P31),6.7,0)+IF(ISNUMBER(P37),6.6,0)))</f>
        <v/>
      </c>
      <c r="Q43" s="39" t="str">
        <f>IF((IF(ISNUMBER(Q25),6.7,0)+IF(ISNUMBER(Q31),6.7,0)+IF(ISNUMBER(Q37),6.6,0))=0,"",(IF(ISNUMBER(Q25),Q25*6.7,0)+IF(ISNUMBER(Q31),Q31*6.7,0)+IF(ISNUMBER(Q37),Q37*6.6,0))/(IF(ISNUMBER(Q25),6.7,0)+IF(ISNUMBER(Q31),6.7,0)+IF(ISNUMBER(Q37),6.6,0)))</f>
        <v/>
      </c>
      <c r="R43" s="39" t="str">
        <f>IF((IF(ISNUMBER(R25),6.7,0)+IF(ISNUMBER(R31),6.7,0)+IF(ISNUMBER(R37),6.6,0))=0,"",(IF(ISNUMBER(R25),R25*6.7,0)+IF(ISNUMBER(R31),R31*6.7,0)+IF(ISNUMBER(R37),R37*6.6,0))/(IF(ISNUMBER(R25),6.7,0)+IF(ISNUMBER(R31),6.7,0)+IF(ISNUMBER(R37),6.6,0)))</f>
        <v/>
      </c>
      <c r="S43" s="39" t="str">
        <f>IF((IF(ISNUMBER(S25),6.7,0)+IF(ISNUMBER(S31),6.7,0)+IF(ISNUMBER(S37),6.6,0))=0,"",(IF(ISNUMBER(S25),S25*6.7,0)+IF(ISNUMBER(S31),S31*6.7,0)+IF(ISNUMBER(S37),S37*6.6,0))/(IF(ISNUMBER(S25),6.7,0)+IF(ISNUMBER(S31),6.7,0)+IF(ISNUMBER(S37),6.6,0)))</f>
        <v/>
      </c>
      <c r="T43" s="39" t="str">
        <f>IF((IF(ISNUMBER(T25),6.7,0)+IF(ISNUMBER(T31),6.7,0)+IF(ISNUMBER(T37),6.6,0))=0,"",(IF(ISNUMBER(T25),T25*6.7,0)+IF(ISNUMBER(T31),T31*6.7,0)+IF(ISNUMBER(T37),T37*6.6,0))/(IF(ISNUMBER(T25),6.7,0)+IF(ISNUMBER(T31),6.7,0)+IF(ISNUMBER(T37),6.6,0)))</f>
        <v/>
      </c>
      <c r="U43" s="39" t="str">
        <f>IF((IF(ISNUMBER(U25),6.7,0)+IF(ISNUMBER(U31),6.7,0)+IF(ISNUMBER(U37),6.6,0))=0,"",(IF(ISNUMBER(U25),U25*6.7,0)+IF(ISNUMBER(U31),U31*6.7,0)+IF(ISNUMBER(U37),U37*6.6,0))/(IF(ISNUMBER(U25),6.7,0)+IF(ISNUMBER(U31),6.7,0)+IF(ISNUMBER(U37),6.6,0)))</f>
        <v/>
      </c>
      <c r="V43" s="39" t="str">
        <f>IF((IF(ISNUMBER(V25),6.7,0)+IF(ISNUMBER(V31),6.7,0)+IF(ISNUMBER(V37),6.6,0))=0,"",(IF(ISNUMBER(V25),V25*6.7,0)+IF(ISNUMBER(V31),V31*6.7,0)+IF(ISNUMBER(V37),V37*6.6,0))/(IF(ISNUMBER(V25),6.7,0)+IF(ISNUMBER(V31),6.7,0)+IF(ISNUMBER(V37),6.6,0)))</f>
        <v/>
      </c>
      <c r="W43" s="39" t="str">
        <f>IF((IF(ISNUMBER(W25),6.7,0)+IF(ISNUMBER(W31),6.7,0)+IF(ISNUMBER(W37),6.6,0))=0,"",(IF(ISNUMBER(W25),W25*6.7,0)+IF(ISNUMBER(W31),W31*6.7,0)+IF(ISNUMBER(W37),W37*6.6,0))/(IF(ISNUMBER(W25),6.7,0)+IF(ISNUMBER(W31),6.7,0)+IF(ISNUMBER(W37),6.6,0)))</f>
        <v/>
      </c>
      <c r="X43" s="39" t="str">
        <f>IF((IF(ISNUMBER(X25),6.7,0)+IF(ISNUMBER(X31),6.7,0)+IF(ISNUMBER(X37),6.6,0))=0,"",(IF(ISNUMBER(X25),X25*6.7,0)+IF(ISNUMBER(X31),X31*6.7,0)+IF(ISNUMBER(X37),X37*6.6,0))/(IF(ISNUMBER(X25),6.7,0)+IF(ISNUMBER(X31),6.7,0)+IF(ISNUMBER(X37),6.6,0)))</f>
        <v/>
      </c>
      <c r="Y43" s="39" t="str">
        <f>IF((IF(ISNUMBER(Y25),6.7,0)+IF(ISNUMBER(Y31),6.7,0)+IF(ISNUMBER(Y37),6.6,0))=0,"",(IF(ISNUMBER(Y25),Y25*6.7,0)+IF(ISNUMBER(Y31),Y31*6.7,0)+IF(ISNUMBER(Y37),Y37*6.6,0))/(IF(ISNUMBER(Y25),6.7,0)+IF(ISNUMBER(Y31),6.7,0)+IF(ISNUMBER(Y37),6.6,0)))</f>
        <v/>
      </c>
      <c r="Z43" s="39" t="str">
        <f>_xlfn.IFERROR(AVERAGE(E43:Y43),"")</f>
        <v/>
      </c>
    </row>
    <row r="44" spans="8:8" ht="20.0" customHeight="1">
      <c r="A44" s="18" t="s">
        <v>286</v>
      </c>
    </row>
    <row r="45" spans="8:8" ht="40.0" customHeight="1">
      <c r="A45" s="28"/>
      <c r="B45" s="29" t="s">
        <v>287</v>
      </c>
      <c r="C45" s="30" t="s">
        <v>288</v>
      </c>
      <c r="D45" s="29">
        <v>6.7</v>
      </c>
      <c r="E45" s="31" t="str">
        <f>IF(COUNTA(E46:E50)=0,"",COUNTIF(E46:E50,"Ya")/5*100)</f>
        <v/>
      </c>
      <c r="F45" s="31" t="str">
        <f>IF(COUNTA(F46:F50)=0,"",COUNTIF(F46:F50,"Ya")/5*100)</f>
        <v/>
      </c>
      <c r="G45" s="31" t="str">
        <f>IF(COUNTA(G46:G50)=0,"",COUNTIF(G46:G50,"Ya")/5*100)</f>
        <v/>
      </c>
      <c r="H45" s="31" t="str">
        <f>IF(COUNTA(H46:H50)=0,"",COUNTIF(H46:H50,"Ya")/5*100)</f>
        <v/>
      </c>
      <c r="I45" s="31" t="str">
        <f>IF(COUNTA(I46:I50)=0,"",COUNTIF(I46:I50,"Ya")/5*100)</f>
        <v/>
      </c>
      <c r="J45" s="31" t="str">
        <f>IF(COUNTA(J46:J50)=0,"",COUNTIF(J46:J50,"Ya")/5*100)</f>
        <v/>
      </c>
      <c r="K45" s="31" t="str">
        <f>IF(COUNTA(K46:K50)=0,"",COUNTIF(K46:K50,"Ya")/5*100)</f>
        <v/>
      </c>
      <c r="L45" s="31" t="str">
        <f>IF(COUNTA(L46:L50)=0,"",COUNTIF(L46:L50,"Ya")/5*100)</f>
        <v/>
      </c>
      <c r="M45" s="31" t="str">
        <f>IF(COUNTA(M46:M50)=0,"",COUNTIF(M46:M50,"Ya")/5*100)</f>
        <v/>
      </c>
      <c r="N45" s="31" t="str">
        <f>IF(COUNTA(N46:N50)=0,"",COUNTIF(N46:N50,"Ya")/5*100)</f>
        <v/>
      </c>
      <c r="O45" s="31" t="str">
        <f>IF(COUNTA(O46:O50)=0,"",COUNTIF(O46:O50,"Ya")/5*100)</f>
        <v/>
      </c>
      <c r="P45" s="31" t="str">
        <f>IF(COUNTA(P46:P50)=0,"",COUNTIF(P46:P50,"Ya")/5*100)</f>
        <v/>
      </c>
      <c r="Q45" s="31" t="str">
        <f>IF(COUNTA(Q46:Q50)=0,"",COUNTIF(Q46:Q50,"Ya")/5*100)</f>
        <v/>
      </c>
      <c r="R45" s="31" t="str">
        <f>IF(COUNTA(R46:R50)=0,"",COUNTIF(R46:R50,"Ya")/5*100)</f>
        <v/>
      </c>
      <c r="S45" s="31" t="str">
        <f>IF(COUNTA(S46:S50)=0,"",COUNTIF(S46:S50,"Ya")/5*100)</f>
        <v/>
      </c>
      <c r="T45" s="31" t="str">
        <f>IF(COUNTA(T46:T50)=0,"",COUNTIF(T46:T50,"Ya")/5*100)</f>
        <v/>
      </c>
      <c r="U45" s="31" t="str">
        <f>IF(COUNTA(U46:U50)=0,"",COUNTIF(U46:U50,"Ya")/5*100)</f>
        <v/>
      </c>
      <c r="V45" s="31" t="str">
        <f>IF(COUNTA(V46:V50)=0,"",COUNTIF(V46:V50,"Ya")/5*100)</f>
        <v/>
      </c>
      <c r="W45" s="31" t="str">
        <f>IF(COUNTA(W46:W50)=0,"",COUNTIF(W46:W50,"Ya")/5*100)</f>
        <v/>
      </c>
      <c r="X45" s="31" t="str">
        <f>IF(COUNTA(X46:X50)=0,"",COUNTIF(X46:X50,"Ya")/5*100)</f>
        <v/>
      </c>
      <c r="Y45" s="31" t="str">
        <f>IF(COUNTA(Y46:Y50)=0,"",COUNTIF(Y46:Y50,"Ya")/5*100)</f>
        <v/>
      </c>
      <c r="Z45" s="31" t="str">
        <f>_xlfn.IFERROR(AVERAGE(E45:Y45),"")</f>
        <v/>
      </c>
    </row>
    <row r="46" spans="8:8" ht="25.0" customHeight="1">
      <c r="A46" s="32"/>
      <c r="B46" s="33" t="s">
        <v>289</v>
      </c>
      <c r="C46" s="34" t="s">
        <v>290</v>
      </c>
      <c r="D46" s="32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8:8" ht="14.0" customHeight="1">
      <c r="A47" s="32"/>
      <c r="B47" s="33" t="s">
        <v>291</v>
      </c>
      <c r="C47" s="34" t="s">
        <v>292</v>
      </c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8:8" ht="25.0" customHeight="1">
      <c r="A48" s="32"/>
      <c r="B48" s="33" t="s">
        <v>293</v>
      </c>
      <c r="C48" s="34" t="s">
        <v>294</v>
      </c>
      <c r="D48" s="32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8:8" ht="25.0" customHeight="1">
      <c r="A49" s="32"/>
      <c r="B49" s="33" t="s">
        <v>295</v>
      </c>
      <c r="C49" s="34" t="s">
        <v>296</v>
      </c>
      <c r="D49" s="32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8:8" ht="25.0" customHeight="1">
      <c r="A50" s="32"/>
      <c r="B50" s="33" t="s">
        <v>297</v>
      </c>
      <c r="C50" s="34" t="s">
        <v>298</v>
      </c>
      <c r="D50" s="32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8:8" ht="28.0" customHeight="1">
      <c r="A51" s="28"/>
      <c r="B51" s="29" t="s">
        <v>299</v>
      </c>
      <c r="C51" s="30" t="s">
        <v>300</v>
      </c>
      <c r="D51" s="29">
        <v>6.7</v>
      </c>
      <c r="E51" s="31" t="str">
        <f>IF(COUNTA(E52:E56)=0,"",COUNTIF(E52:E56,"Ya")/5*100)</f>
        <v/>
      </c>
      <c r="F51" s="31" t="str">
        <f>IF(COUNTA(F52:F56)=0,"",COUNTIF(F52:F56,"Ya")/5*100)</f>
        <v/>
      </c>
      <c r="G51" s="31" t="str">
        <f>IF(COUNTA(G52:G56)=0,"",COUNTIF(G52:G56,"Ya")/5*100)</f>
        <v/>
      </c>
      <c r="H51" s="31" t="str">
        <f>IF(COUNTA(H52:H56)=0,"",COUNTIF(H52:H56,"Ya")/5*100)</f>
        <v/>
      </c>
      <c r="I51" s="31" t="str">
        <f>IF(COUNTA(I52:I56)=0,"",COUNTIF(I52:I56,"Ya")/5*100)</f>
        <v/>
      </c>
      <c r="J51" s="31" t="str">
        <f>IF(COUNTA(J52:J56)=0,"",COUNTIF(J52:J56,"Ya")/5*100)</f>
        <v/>
      </c>
      <c r="K51" s="31" t="str">
        <f>IF(COUNTA(K52:K56)=0,"",COUNTIF(K52:K56,"Ya")/5*100)</f>
        <v/>
      </c>
      <c r="L51" s="31" t="str">
        <f>IF(COUNTA(L52:L56)=0,"",COUNTIF(L52:L56,"Ya")/5*100)</f>
        <v/>
      </c>
      <c r="M51" s="31" t="str">
        <f>IF(COUNTA(M52:M56)=0,"",COUNTIF(M52:M56,"Ya")/5*100)</f>
        <v/>
      </c>
      <c r="N51" s="31" t="str">
        <f>IF(COUNTA(N52:N56)=0,"",COUNTIF(N52:N56,"Ya")/5*100)</f>
        <v/>
      </c>
      <c r="O51" s="31" t="str">
        <f>IF(COUNTA(O52:O56)=0,"",COUNTIF(O52:O56,"Ya")/5*100)</f>
        <v/>
      </c>
      <c r="P51" s="31" t="str">
        <f>IF(COUNTA(P52:P56)=0,"",COUNTIF(P52:P56,"Ya")/5*100)</f>
        <v/>
      </c>
      <c r="Q51" s="31" t="str">
        <f>IF(COUNTA(Q52:Q56)=0,"",COUNTIF(Q52:Q56,"Ya")/5*100)</f>
        <v/>
      </c>
      <c r="R51" s="31" t="str">
        <f>IF(COUNTA(R52:R56)=0,"",COUNTIF(R52:R56,"Ya")/5*100)</f>
        <v/>
      </c>
      <c r="S51" s="31" t="str">
        <f>IF(COUNTA(S52:S56)=0,"",COUNTIF(S52:S56,"Ya")/5*100)</f>
        <v/>
      </c>
      <c r="T51" s="31" t="str">
        <f>IF(COUNTA(T52:T56)=0,"",COUNTIF(T52:T56,"Ya")/5*100)</f>
        <v/>
      </c>
      <c r="U51" s="31" t="str">
        <f>IF(COUNTA(U52:U56)=0,"",COUNTIF(U52:U56,"Ya")/5*100)</f>
        <v/>
      </c>
      <c r="V51" s="31" t="str">
        <f>IF(COUNTA(V52:V56)=0,"",COUNTIF(V52:V56,"Ya")/5*100)</f>
        <v/>
      </c>
      <c r="W51" s="31" t="str">
        <f>IF(COUNTA(W52:W56)=0,"",COUNTIF(W52:W56,"Ya")/5*100)</f>
        <v/>
      </c>
      <c r="X51" s="31" t="str">
        <f>IF(COUNTA(X52:X56)=0,"",COUNTIF(X52:X56,"Ya")/5*100)</f>
        <v/>
      </c>
      <c r="Y51" s="31" t="str">
        <f>IF(COUNTA(Y52:Y56)=0,"",COUNTIF(Y52:Y56,"Ya")/5*100)</f>
        <v/>
      </c>
      <c r="Z51" s="31" t="str">
        <f>_xlfn.IFERROR(AVERAGE(E51:Y51),"")</f>
        <v/>
      </c>
    </row>
    <row r="52" spans="8:8" ht="25.0" customHeight="1">
      <c r="A52" s="32"/>
      <c r="B52" s="33" t="s">
        <v>301</v>
      </c>
      <c r="C52" s="34" t="s">
        <v>302</v>
      </c>
      <c r="D52" s="32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8:8" ht="25.0" customHeight="1">
      <c r="A53" s="32"/>
      <c r="B53" s="33" t="s">
        <v>303</v>
      </c>
      <c r="C53" s="34" t="s">
        <v>304</v>
      </c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8:8" ht="25.0" customHeight="1">
      <c r="A54" s="32"/>
      <c r="B54" s="33" t="s">
        <v>305</v>
      </c>
      <c r="C54" s="34" t="s">
        <v>306</v>
      </c>
      <c r="D54" s="32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8:8" ht="25.0" customHeight="1">
      <c r="A55" s="32"/>
      <c r="B55" s="33" t="s">
        <v>307</v>
      </c>
      <c r="C55" s="34" t="s">
        <v>308</v>
      </c>
      <c r="D55" s="32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8:8" ht="25.0" customHeight="1">
      <c r="A56" s="32"/>
      <c r="B56" s="33" t="s">
        <v>309</v>
      </c>
      <c r="C56" s="34" t="s">
        <v>310</v>
      </c>
      <c r="D56" s="32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8:8" ht="40.0" customHeight="1">
      <c r="A57" s="28"/>
      <c r="B57" s="29" t="s">
        <v>311</v>
      </c>
      <c r="C57" s="30" t="s">
        <v>312</v>
      </c>
      <c r="D57" s="29">
        <v>6.6</v>
      </c>
      <c r="E57" s="31" t="str">
        <f>IF(COUNTA(E58:E62)=0,"",COUNTIF(E58:E62,"Ya")/5*100)</f>
        <v/>
      </c>
      <c r="F57" s="31" t="str">
        <f>IF(COUNTA(F58:F62)=0,"",COUNTIF(F58:F62,"Ya")/5*100)</f>
        <v/>
      </c>
      <c r="G57" s="31" t="str">
        <f>IF(COUNTA(G58:G62)=0,"",COUNTIF(G58:G62,"Ya")/5*100)</f>
        <v/>
      </c>
      <c r="H57" s="31" t="str">
        <f>IF(COUNTA(H58:H62)=0,"",COUNTIF(H58:H62,"Ya")/5*100)</f>
        <v/>
      </c>
      <c r="I57" s="31" t="str">
        <f>IF(COUNTA(I58:I62)=0,"",COUNTIF(I58:I62,"Ya")/5*100)</f>
        <v/>
      </c>
      <c r="J57" s="31" t="str">
        <f>IF(COUNTA(J58:J62)=0,"",COUNTIF(J58:J62,"Ya")/5*100)</f>
        <v/>
      </c>
      <c r="K57" s="31" t="str">
        <f>IF(COUNTA(K58:K62)=0,"",COUNTIF(K58:K62,"Ya")/5*100)</f>
        <v/>
      </c>
      <c r="L57" s="31" t="str">
        <f>IF(COUNTA(L58:L62)=0,"",COUNTIF(L58:L62,"Ya")/5*100)</f>
        <v/>
      </c>
      <c r="M57" s="31" t="str">
        <f>IF(COUNTA(M58:M62)=0,"",COUNTIF(M58:M62,"Ya")/5*100)</f>
        <v/>
      </c>
      <c r="N57" s="31" t="str">
        <f>IF(COUNTA(N58:N62)=0,"",COUNTIF(N58:N62,"Ya")/5*100)</f>
        <v/>
      </c>
      <c r="O57" s="31" t="str">
        <f>IF(COUNTA(O58:O62)=0,"",COUNTIF(O58:O62,"Ya")/5*100)</f>
        <v/>
      </c>
      <c r="P57" s="31" t="str">
        <f>IF(COUNTA(P58:P62)=0,"",COUNTIF(P58:P62,"Ya")/5*100)</f>
        <v/>
      </c>
      <c r="Q57" s="31" t="str">
        <f>IF(COUNTA(Q58:Q62)=0,"",COUNTIF(Q58:Q62,"Ya")/5*100)</f>
        <v/>
      </c>
      <c r="R57" s="31" t="str">
        <f>IF(COUNTA(R58:R62)=0,"",COUNTIF(R58:R62,"Ya")/5*100)</f>
        <v/>
      </c>
      <c r="S57" s="31" t="str">
        <f>IF(COUNTA(S58:S62)=0,"",COUNTIF(S58:S62,"Ya")/5*100)</f>
        <v/>
      </c>
      <c r="T57" s="31" t="str">
        <f>IF(COUNTA(T58:T62)=0,"",COUNTIF(T58:T62,"Ya")/5*100)</f>
        <v/>
      </c>
      <c r="U57" s="31" t="str">
        <f>IF(COUNTA(U58:U62)=0,"",COUNTIF(U58:U62,"Ya")/5*100)</f>
        <v/>
      </c>
      <c r="V57" s="31" t="str">
        <f>IF(COUNTA(V58:V62)=0,"",COUNTIF(V58:V62,"Ya")/5*100)</f>
        <v/>
      </c>
      <c r="W57" s="31" t="str">
        <f>IF(COUNTA(W58:W62)=0,"",COUNTIF(W58:W62,"Ya")/5*100)</f>
        <v/>
      </c>
      <c r="X57" s="31" t="str">
        <f>IF(COUNTA(X58:X62)=0,"",COUNTIF(X58:X62,"Ya")/5*100)</f>
        <v/>
      </c>
      <c r="Y57" s="31" t="str">
        <f>IF(COUNTA(Y58:Y62)=0,"",COUNTIF(Y58:Y62,"Ya")/5*100)</f>
        <v/>
      </c>
      <c r="Z57" s="31" t="str">
        <f>_xlfn.IFERROR(AVERAGE(E57:Y57),"")</f>
        <v/>
      </c>
    </row>
    <row r="58" spans="8:8" ht="25.0" customHeight="1">
      <c r="A58" s="32"/>
      <c r="B58" s="33" t="s">
        <v>313</v>
      </c>
      <c r="C58" s="34" t="s">
        <v>314</v>
      </c>
      <c r="D58" s="3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8:8" ht="25.0" customHeight="1">
      <c r="A59" s="32"/>
      <c r="B59" s="33" t="s">
        <v>315</v>
      </c>
      <c r="C59" s="34" t="s">
        <v>316</v>
      </c>
      <c r="D59" s="32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8:8" ht="14.0" customHeight="1">
      <c r="A60" s="32"/>
      <c r="B60" s="33" t="s">
        <v>317</v>
      </c>
      <c r="C60" s="34" t="s">
        <v>318</v>
      </c>
      <c r="D60" s="3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8:8" ht="25.0" customHeight="1">
      <c r="A61" s="32"/>
      <c r="B61" s="33" t="s">
        <v>319</v>
      </c>
      <c r="C61" s="34" t="s">
        <v>320</v>
      </c>
      <c r="D61" s="32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8:8" ht="25.0" customHeight="1">
      <c r="A62" s="32"/>
      <c r="B62" s="33" t="s">
        <v>321</v>
      </c>
      <c r="C62" s="34" t="s">
        <v>322</v>
      </c>
      <c r="D62" s="32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8:8" ht="18.0" customHeight="1">
      <c r="A63" s="36"/>
      <c r="B63" s="36"/>
      <c r="C63" s="37" t="s">
        <v>323</v>
      </c>
      <c r="D63" s="38">
        <v>20.0</v>
      </c>
      <c r="E63" s="39" t="str">
        <f>IF((IF(ISNUMBER(E45),6.7,0)+IF(ISNUMBER(E51),6.7,0)+IF(ISNUMBER(E57),6.6,0))=0,"",(IF(ISNUMBER(E45),E45*6.7,0)+IF(ISNUMBER(E51),E51*6.7,0)+IF(ISNUMBER(E57),E57*6.6,0))/(IF(ISNUMBER(E45),6.7,0)+IF(ISNUMBER(E51),6.7,0)+IF(ISNUMBER(E57),6.6,0)))</f>
        <v/>
      </c>
      <c r="F63" s="39" t="str">
        <f>IF((IF(ISNUMBER(F45),6.7,0)+IF(ISNUMBER(F51),6.7,0)+IF(ISNUMBER(F57),6.6,0))=0,"",(IF(ISNUMBER(F45),F45*6.7,0)+IF(ISNUMBER(F51),F51*6.7,0)+IF(ISNUMBER(F57),F57*6.6,0))/(IF(ISNUMBER(F45),6.7,0)+IF(ISNUMBER(F51),6.7,0)+IF(ISNUMBER(F57),6.6,0)))</f>
        <v/>
      </c>
      <c r="G63" s="39" t="str">
        <f>IF((IF(ISNUMBER(G45),6.7,0)+IF(ISNUMBER(G51),6.7,0)+IF(ISNUMBER(G57),6.6,0))=0,"",(IF(ISNUMBER(G45),G45*6.7,0)+IF(ISNUMBER(G51),G51*6.7,0)+IF(ISNUMBER(G57),G57*6.6,0))/(IF(ISNUMBER(G45),6.7,0)+IF(ISNUMBER(G51),6.7,0)+IF(ISNUMBER(G57),6.6,0)))</f>
        <v/>
      </c>
      <c r="H63" s="39" t="str">
        <f>IF((IF(ISNUMBER(H45),6.7,0)+IF(ISNUMBER(H51),6.7,0)+IF(ISNUMBER(H57),6.6,0))=0,"",(IF(ISNUMBER(H45),H45*6.7,0)+IF(ISNUMBER(H51),H51*6.7,0)+IF(ISNUMBER(H57),H57*6.6,0))/(IF(ISNUMBER(H45),6.7,0)+IF(ISNUMBER(H51),6.7,0)+IF(ISNUMBER(H57),6.6,0)))</f>
        <v/>
      </c>
      <c r="I63" s="39" t="str">
        <f>IF((IF(ISNUMBER(I45),6.7,0)+IF(ISNUMBER(I51),6.7,0)+IF(ISNUMBER(I57),6.6,0))=0,"",(IF(ISNUMBER(I45),I45*6.7,0)+IF(ISNUMBER(I51),I51*6.7,0)+IF(ISNUMBER(I57),I57*6.6,0))/(IF(ISNUMBER(I45),6.7,0)+IF(ISNUMBER(I51),6.7,0)+IF(ISNUMBER(I57),6.6,0)))</f>
        <v/>
      </c>
      <c r="J63" s="39" t="str">
        <f>IF((IF(ISNUMBER(J45),6.7,0)+IF(ISNUMBER(J51),6.7,0)+IF(ISNUMBER(J57),6.6,0))=0,"",(IF(ISNUMBER(J45),J45*6.7,0)+IF(ISNUMBER(J51),J51*6.7,0)+IF(ISNUMBER(J57),J57*6.6,0))/(IF(ISNUMBER(J45),6.7,0)+IF(ISNUMBER(J51),6.7,0)+IF(ISNUMBER(J57),6.6,0)))</f>
        <v/>
      </c>
      <c r="K63" s="39" t="str">
        <f>IF((IF(ISNUMBER(K45),6.7,0)+IF(ISNUMBER(K51),6.7,0)+IF(ISNUMBER(K57),6.6,0))=0,"",(IF(ISNUMBER(K45),K45*6.7,0)+IF(ISNUMBER(K51),K51*6.7,0)+IF(ISNUMBER(K57),K57*6.6,0))/(IF(ISNUMBER(K45),6.7,0)+IF(ISNUMBER(K51),6.7,0)+IF(ISNUMBER(K57),6.6,0)))</f>
        <v/>
      </c>
      <c r="L63" s="39" t="str">
        <f>IF((IF(ISNUMBER(L45),6.7,0)+IF(ISNUMBER(L51),6.7,0)+IF(ISNUMBER(L57),6.6,0))=0,"",(IF(ISNUMBER(L45),L45*6.7,0)+IF(ISNUMBER(L51),L51*6.7,0)+IF(ISNUMBER(L57),L57*6.6,0))/(IF(ISNUMBER(L45),6.7,0)+IF(ISNUMBER(L51),6.7,0)+IF(ISNUMBER(L57),6.6,0)))</f>
        <v/>
      </c>
      <c r="M63" s="39" t="str">
        <f>IF((IF(ISNUMBER(M45),6.7,0)+IF(ISNUMBER(M51),6.7,0)+IF(ISNUMBER(M57),6.6,0))=0,"",(IF(ISNUMBER(M45),M45*6.7,0)+IF(ISNUMBER(M51),M51*6.7,0)+IF(ISNUMBER(M57),M57*6.6,0))/(IF(ISNUMBER(M45),6.7,0)+IF(ISNUMBER(M51),6.7,0)+IF(ISNUMBER(M57),6.6,0)))</f>
        <v/>
      </c>
      <c r="N63" s="39" t="str">
        <f>IF((IF(ISNUMBER(N45),6.7,0)+IF(ISNUMBER(N51),6.7,0)+IF(ISNUMBER(N57),6.6,0))=0,"",(IF(ISNUMBER(N45),N45*6.7,0)+IF(ISNUMBER(N51),N51*6.7,0)+IF(ISNUMBER(N57),N57*6.6,0))/(IF(ISNUMBER(N45),6.7,0)+IF(ISNUMBER(N51),6.7,0)+IF(ISNUMBER(N57),6.6,0)))</f>
        <v/>
      </c>
      <c r="O63" s="39" t="str">
        <f>IF((IF(ISNUMBER(O45),6.7,0)+IF(ISNUMBER(O51),6.7,0)+IF(ISNUMBER(O57),6.6,0))=0,"",(IF(ISNUMBER(O45),O45*6.7,0)+IF(ISNUMBER(O51),O51*6.7,0)+IF(ISNUMBER(O57),O57*6.6,0))/(IF(ISNUMBER(O45),6.7,0)+IF(ISNUMBER(O51),6.7,0)+IF(ISNUMBER(O57),6.6,0)))</f>
        <v/>
      </c>
      <c r="P63" s="39" t="str">
        <f>IF((IF(ISNUMBER(P45),6.7,0)+IF(ISNUMBER(P51),6.7,0)+IF(ISNUMBER(P57),6.6,0))=0,"",(IF(ISNUMBER(P45),P45*6.7,0)+IF(ISNUMBER(P51),P51*6.7,0)+IF(ISNUMBER(P57),P57*6.6,0))/(IF(ISNUMBER(P45),6.7,0)+IF(ISNUMBER(P51),6.7,0)+IF(ISNUMBER(P57),6.6,0)))</f>
        <v/>
      </c>
      <c r="Q63" s="39" t="str">
        <f>IF((IF(ISNUMBER(Q45),6.7,0)+IF(ISNUMBER(Q51),6.7,0)+IF(ISNUMBER(Q57),6.6,0))=0,"",(IF(ISNUMBER(Q45),Q45*6.7,0)+IF(ISNUMBER(Q51),Q51*6.7,0)+IF(ISNUMBER(Q57),Q57*6.6,0))/(IF(ISNUMBER(Q45),6.7,0)+IF(ISNUMBER(Q51),6.7,0)+IF(ISNUMBER(Q57),6.6,0)))</f>
        <v/>
      </c>
      <c r="R63" s="39" t="str">
        <f>IF((IF(ISNUMBER(R45),6.7,0)+IF(ISNUMBER(R51),6.7,0)+IF(ISNUMBER(R57),6.6,0))=0,"",(IF(ISNUMBER(R45),R45*6.7,0)+IF(ISNUMBER(R51),R51*6.7,0)+IF(ISNUMBER(R57),R57*6.6,0))/(IF(ISNUMBER(R45),6.7,0)+IF(ISNUMBER(R51),6.7,0)+IF(ISNUMBER(R57),6.6,0)))</f>
        <v/>
      </c>
      <c r="S63" s="39" t="str">
        <f>IF((IF(ISNUMBER(S45),6.7,0)+IF(ISNUMBER(S51),6.7,0)+IF(ISNUMBER(S57),6.6,0))=0,"",(IF(ISNUMBER(S45),S45*6.7,0)+IF(ISNUMBER(S51),S51*6.7,0)+IF(ISNUMBER(S57),S57*6.6,0))/(IF(ISNUMBER(S45),6.7,0)+IF(ISNUMBER(S51),6.7,0)+IF(ISNUMBER(S57),6.6,0)))</f>
        <v/>
      </c>
      <c r="T63" s="39" t="str">
        <f>IF((IF(ISNUMBER(T45),6.7,0)+IF(ISNUMBER(T51),6.7,0)+IF(ISNUMBER(T57),6.6,0))=0,"",(IF(ISNUMBER(T45),T45*6.7,0)+IF(ISNUMBER(T51),T51*6.7,0)+IF(ISNUMBER(T57),T57*6.6,0))/(IF(ISNUMBER(T45),6.7,0)+IF(ISNUMBER(T51),6.7,0)+IF(ISNUMBER(T57),6.6,0)))</f>
        <v/>
      </c>
      <c r="U63" s="39" t="str">
        <f>IF((IF(ISNUMBER(U45),6.7,0)+IF(ISNUMBER(U51),6.7,0)+IF(ISNUMBER(U57),6.6,0))=0,"",(IF(ISNUMBER(U45),U45*6.7,0)+IF(ISNUMBER(U51),U51*6.7,0)+IF(ISNUMBER(U57),U57*6.6,0))/(IF(ISNUMBER(U45),6.7,0)+IF(ISNUMBER(U51),6.7,0)+IF(ISNUMBER(U57),6.6,0)))</f>
        <v/>
      </c>
      <c r="V63" s="39" t="str">
        <f>IF((IF(ISNUMBER(V45),6.7,0)+IF(ISNUMBER(V51),6.7,0)+IF(ISNUMBER(V57),6.6,0))=0,"",(IF(ISNUMBER(V45),V45*6.7,0)+IF(ISNUMBER(V51),V51*6.7,0)+IF(ISNUMBER(V57),V57*6.6,0))/(IF(ISNUMBER(V45),6.7,0)+IF(ISNUMBER(V51),6.7,0)+IF(ISNUMBER(V57),6.6,0)))</f>
        <v/>
      </c>
      <c r="W63" s="39" t="str">
        <f>IF((IF(ISNUMBER(W45),6.7,0)+IF(ISNUMBER(W51),6.7,0)+IF(ISNUMBER(W57),6.6,0))=0,"",(IF(ISNUMBER(W45),W45*6.7,0)+IF(ISNUMBER(W51),W51*6.7,0)+IF(ISNUMBER(W57),W57*6.6,0))/(IF(ISNUMBER(W45),6.7,0)+IF(ISNUMBER(W51),6.7,0)+IF(ISNUMBER(W57),6.6,0)))</f>
        <v/>
      </c>
      <c r="X63" s="39" t="str">
        <f>IF((IF(ISNUMBER(X45),6.7,0)+IF(ISNUMBER(X51),6.7,0)+IF(ISNUMBER(X57),6.6,0))=0,"",(IF(ISNUMBER(X45),X45*6.7,0)+IF(ISNUMBER(X51),X51*6.7,0)+IF(ISNUMBER(X57),X57*6.6,0))/(IF(ISNUMBER(X45),6.7,0)+IF(ISNUMBER(X51),6.7,0)+IF(ISNUMBER(X57),6.6,0)))</f>
        <v/>
      </c>
      <c r="Y63" s="39" t="str">
        <f>IF((IF(ISNUMBER(Y45),6.7,0)+IF(ISNUMBER(Y51),6.7,0)+IF(ISNUMBER(Y57),6.6,0))=0,"",(IF(ISNUMBER(Y45),Y45*6.7,0)+IF(ISNUMBER(Y51),Y51*6.7,0)+IF(ISNUMBER(Y57),Y57*6.6,0))/(IF(ISNUMBER(Y45),6.7,0)+IF(ISNUMBER(Y51),6.7,0)+IF(ISNUMBER(Y57),6.6,0)))</f>
        <v/>
      </c>
      <c r="Z63" s="39" t="str">
        <f>_xlfn.IFERROR(AVERAGE(E63:Y63),"")</f>
        <v/>
      </c>
    </row>
    <row r="64" spans="8:8" ht="20.0" customHeight="1">
      <c r="A64" s="18" t="s">
        <v>324</v>
      </c>
    </row>
    <row r="65" spans="8:8" ht="40.0" customHeight="1">
      <c r="A65" s="28"/>
      <c r="B65" s="29" t="s">
        <v>325</v>
      </c>
      <c r="C65" s="30" t="s">
        <v>326</v>
      </c>
      <c r="D65" s="29">
        <v>5.0</v>
      </c>
      <c r="E65" s="31" t="str">
        <f>IF(COUNTA(E66:E70)=0,"",COUNTIF(E66:E70,"Ya")/5*100)</f>
        <v/>
      </c>
      <c r="F65" s="31" t="str">
        <f>IF(COUNTA(F66:F70)=0,"",COUNTIF(F66:F70,"Ya")/5*100)</f>
        <v/>
      </c>
      <c r="G65" s="31" t="str">
        <f>IF(COUNTA(G66:G70)=0,"",COUNTIF(G66:G70,"Ya")/5*100)</f>
        <v/>
      </c>
      <c r="H65" s="31" t="str">
        <f>IF(COUNTA(H66:H70)=0,"",COUNTIF(H66:H70,"Ya")/5*100)</f>
        <v/>
      </c>
      <c r="I65" s="31" t="str">
        <f>IF(COUNTA(I66:I70)=0,"",COUNTIF(I66:I70,"Ya")/5*100)</f>
        <v/>
      </c>
      <c r="J65" s="31" t="str">
        <f>IF(COUNTA(J66:J70)=0,"",COUNTIF(J66:J70,"Ya")/5*100)</f>
        <v/>
      </c>
      <c r="K65" s="31" t="str">
        <f>IF(COUNTA(K66:K70)=0,"",COUNTIF(K66:K70,"Ya")/5*100)</f>
        <v/>
      </c>
      <c r="L65" s="31" t="str">
        <f>IF(COUNTA(L66:L70)=0,"",COUNTIF(L66:L70,"Ya")/5*100)</f>
        <v/>
      </c>
      <c r="M65" s="31" t="str">
        <f>IF(COUNTA(M66:M70)=0,"",COUNTIF(M66:M70,"Ya")/5*100)</f>
        <v/>
      </c>
      <c r="N65" s="31" t="str">
        <f>IF(COUNTA(N66:N70)=0,"",COUNTIF(N66:N70,"Ya")/5*100)</f>
        <v/>
      </c>
      <c r="O65" s="31" t="str">
        <f>IF(COUNTA(O66:O70)=0,"",COUNTIF(O66:O70,"Ya")/5*100)</f>
        <v/>
      </c>
      <c r="P65" s="31" t="str">
        <f>IF(COUNTA(P66:P70)=0,"",COUNTIF(P66:P70,"Ya")/5*100)</f>
        <v/>
      </c>
      <c r="Q65" s="31" t="str">
        <f>IF(COUNTA(Q66:Q70)=0,"",COUNTIF(Q66:Q70,"Ya")/5*100)</f>
        <v/>
      </c>
      <c r="R65" s="31" t="str">
        <f>IF(COUNTA(R66:R70)=0,"",COUNTIF(R66:R70,"Ya")/5*100)</f>
        <v/>
      </c>
      <c r="S65" s="31" t="str">
        <f>IF(COUNTA(S66:S70)=0,"",COUNTIF(S66:S70,"Ya")/5*100)</f>
        <v/>
      </c>
      <c r="T65" s="31" t="str">
        <f>IF(COUNTA(T66:T70)=0,"",COUNTIF(T66:T70,"Ya")/5*100)</f>
        <v/>
      </c>
      <c r="U65" s="31" t="str">
        <f>IF(COUNTA(U66:U70)=0,"",COUNTIF(U66:U70,"Ya")/5*100)</f>
        <v/>
      </c>
      <c r="V65" s="31" t="str">
        <f>IF(COUNTA(V66:V70)=0,"",COUNTIF(V66:V70,"Ya")/5*100)</f>
        <v/>
      </c>
      <c r="W65" s="31" t="str">
        <f>IF(COUNTA(W66:W70)=0,"",COUNTIF(W66:W70,"Ya")/5*100)</f>
        <v/>
      </c>
      <c r="X65" s="31" t="str">
        <f>IF(COUNTA(X66:X70)=0,"",COUNTIF(X66:X70,"Ya")/5*100)</f>
        <v/>
      </c>
      <c r="Y65" s="31" t="str">
        <f>IF(COUNTA(Y66:Y70)=0,"",COUNTIF(Y66:Y70,"Ya")/5*100)</f>
        <v/>
      </c>
      <c r="Z65" s="31" t="str">
        <f>_xlfn.IFERROR(AVERAGE(E65:Y65),"")</f>
        <v/>
      </c>
    </row>
    <row r="66" spans="8:8" ht="25.0" customHeight="1">
      <c r="A66" s="32"/>
      <c r="B66" s="33" t="s">
        <v>327</v>
      </c>
      <c r="C66" s="34" t="s">
        <v>328</v>
      </c>
      <c r="D66" s="32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8:8" ht="25.0" customHeight="1">
      <c r="A67" s="32"/>
      <c r="B67" s="33" t="s">
        <v>329</v>
      </c>
      <c r="C67" s="34" t="s">
        <v>330</v>
      </c>
      <c r="D67" s="32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8:8" ht="25.0" customHeight="1">
      <c r="A68" s="32"/>
      <c r="B68" s="33" t="s">
        <v>331</v>
      </c>
      <c r="C68" s="34" t="s">
        <v>332</v>
      </c>
      <c r="D68" s="32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8:8" ht="25.0" customHeight="1">
      <c r="A69" s="32"/>
      <c r="B69" s="33" t="s">
        <v>333</v>
      </c>
      <c r="C69" s="34" t="s">
        <v>334</v>
      </c>
      <c r="D69" s="32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spans="8:8" ht="25.0" customHeight="1">
      <c r="A70" s="32"/>
      <c r="B70" s="33" t="s">
        <v>335</v>
      </c>
      <c r="C70" s="34" t="s">
        <v>336</v>
      </c>
      <c r="D70" s="32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8:8" ht="40.0" customHeight="1">
      <c r="A71" s="28"/>
      <c r="B71" s="29" t="s">
        <v>337</v>
      </c>
      <c r="C71" s="30" t="s">
        <v>338</v>
      </c>
      <c r="D71" s="29">
        <v>5.0</v>
      </c>
      <c r="E71" s="31" t="str">
        <f>IF(COUNTA(E72:E76)=0,"",COUNTIF(E72:E76,"Ya")/5*100)</f>
        <v/>
      </c>
      <c r="F71" s="31" t="str">
        <f>IF(COUNTA(F72:F76)=0,"",COUNTIF(F72:F76,"Ya")/5*100)</f>
        <v/>
      </c>
      <c r="G71" s="31" t="str">
        <f>IF(COUNTA(G72:G76)=0,"",COUNTIF(G72:G76,"Ya")/5*100)</f>
        <v/>
      </c>
      <c r="H71" s="31" t="str">
        <f>IF(COUNTA(H72:H76)=0,"",COUNTIF(H72:H76,"Ya")/5*100)</f>
        <v/>
      </c>
      <c r="I71" s="31" t="str">
        <f>IF(COUNTA(I72:I76)=0,"",COUNTIF(I72:I76,"Ya")/5*100)</f>
        <v/>
      </c>
      <c r="J71" s="31" t="str">
        <f>IF(COUNTA(J72:J76)=0,"",COUNTIF(J72:J76,"Ya")/5*100)</f>
        <v/>
      </c>
      <c r="K71" s="31" t="str">
        <f>IF(COUNTA(K72:K76)=0,"",COUNTIF(K72:K76,"Ya")/5*100)</f>
        <v/>
      </c>
      <c r="L71" s="31" t="str">
        <f>IF(COUNTA(L72:L76)=0,"",COUNTIF(L72:L76,"Ya")/5*100)</f>
        <v/>
      </c>
      <c r="M71" s="31" t="str">
        <f>IF(COUNTA(M72:M76)=0,"",COUNTIF(M72:M76,"Ya")/5*100)</f>
        <v/>
      </c>
      <c r="N71" s="31" t="str">
        <f>IF(COUNTA(N72:N76)=0,"",COUNTIF(N72:N76,"Ya")/5*100)</f>
        <v/>
      </c>
      <c r="O71" s="31" t="str">
        <f>IF(COUNTA(O72:O76)=0,"",COUNTIF(O72:O76,"Ya")/5*100)</f>
        <v/>
      </c>
      <c r="P71" s="31" t="str">
        <f>IF(COUNTA(P72:P76)=0,"",COUNTIF(P72:P76,"Ya")/5*100)</f>
        <v/>
      </c>
      <c r="Q71" s="31" t="str">
        <f>IF(COUNTA(Q72:Q76)=0,"",COUNTIF(Q72:Q76,"Ya")/5*100)</f>
        <v/>
      </c>
      <c r="R71" s="31" t="str">
        <f>IF(COUNTA(R72:R76)=0,"",COUNTIF(R72:R76,"Ya")/5*100)</f>
        <v/>
      </c>
      <c r="S71" s="31" t="str">
        <f>IF(COUNTA(S72:S76)=0,"",COUNTIF(S72:S76,"Ya")/5*100)</f>
        <v/>
      </c>
      <c r="T71" s="31" t="str">
        <f>IF(COUNTA(T72:T76)=0,"",COUNTIF(T72:T76,"Ya")/5*100)</f>
        <v/>
      </c>
      <c r="U71" s="31" t="str">
        <f>IF(COUNTA(U72:U76)=0,"",COUNTIF(U72:U76,"Ya")/5*100)</f>
        <v/>
      </c>
      <c r="V71" s="31" t="str">
        <f>IF(COUNTA(V72:V76)=0,"",COUNTIF(V72:V76,"Ya")/5*100)</f>
        <v/>
      </c>
      <c r="W71" s="31" t="str">
        <f>IF(COUNTA(W72:W76)=0,"",COUNTIF(W72:W76,"Ya")/5*100)</f>
        <v/>
      </c>
      <c r="X71" s="31" t="str">
        <f>IF(COUNTA(X72:X76)=0,"",COUNTIF(X72:X76,"Ya")/5*100)</f>
        <v/>
      </c>
      <c r="Y71" s="31" t="str">
        <f>IF(COUNTA(Y72:Y76)=0,"",COUNTIF(Y72:Y76,"Ya")/5*100)</f>
        <v/>
      </c>
      <c r="Z71" s="31" t="str">
        <f>_xlfn.IFERROR(AVERAGE(E71:Y71),"")</f>
        <v/>
      </c>
    </row>
    <row r="72" spans="8:8" ht="25.0" customHeight="1">
      <c r="A72" s="32"/>
      <c r="B72" s="33" t="s">
        <v>339</v>
      </c>
      <c r="C72" s="34" t="s">
        <v>340</v>
      </c>
      <c r="D72" s="32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8:8" ht="25.0" customHeight="1">
      <c r="A73" s="32"/>
      <c r="B73" s="33" t="s">
        <v>341</v>
      </c>
      <c r="C73" s="34" t="s">
        <v>330</v>
      </c>
      <c r="D73" s="32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8:8" ht="25.0" customHeight="1">
      <c r="A74" s="32"/>
      <c r="B74" s="33" t="s">
        <v>342</v>
      </c>
      <c r="C74" s="34" t="s">
        <v>343</v>
      </c>
      <c r="D74" s="32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8:8" ht="25.0" customHeight="1">
      <c r="A75" s="32"/>
      <c r="B75" s="33" t="s">
        <v>344</v>
      </c>
      <c r="C75" s="34" t="s">
        <v>345</v>
      </c>
      <c r="D75" s="32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spans="8:8" ht="25.0" customHeight="1">
      <c r="A76" s="32"/>
      <c r="B76" s="33" t="s">
        <v>346</v>
      </c>
      <c r="C76" s="34" t="s">
        <v>336</v>
      </c>
      <c r="D76" s="32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8:8" ht="28.0" customHeight="1">
      <c r="A77" s="28"/>
      <c r="B77" s="29" t="s">
        <v>347</v>
      </c>
      <c r="C77" s="30" t="s">
        <v>348</v>
      </c>
      <c r="D77" s="29">
        <v>5.0</v>
      </c>
      <c r="E77" s="31" t="str">
        <f>IF(COUNTA(E78:E82)=0,"",COUNTIF(E78:E82,"Ya")/5*100)</f>
        <v/>
      </c>
      <c r="F77" s="31" t="str">
        <f>IF(COUNTA(F78:F82)=0,"",COUNTIF(F78:F82,"Ya")/5*100)</f>
        <v/>
      </c>
      <c r="G77" s="31" t="str">
        <f>IF(COUNTA(G78:G82)=0,"",COUNTIF(G78:G82,"Ya")/5*100)</f>
        <v/>
      </c>
      <c r="H77" s="31" t="str">
        <f>IF(COUNTA(H78:H82)=0,"",COUNTIF(H78:H82,"Ya")/5*100)</f>
        <v/>
      </c>
      <c r="I77" s="31" t="str">
        <f>IF(COUNTA(I78:I82)=0,"",COUNTIF(I78:I82,"Ya")/5*100)</f>
        <v/>
      </c>
      <c r="J77" s="31" t="str">
        <f>IF(COUNTA(J78:J82)=0,"",COUNTIF(J78:J82,"Ya")/5*100)</f>
        <v/>
      </c>
      <c r="K77" s="31" t="str">
        <f>IF(COUNTA(K78:K82)=0,"",COUNTIF(K78:K82,"Ya")/5*100)</f>
        <v/>
      </c>
      <c r="L77" s="31" t="str">
        <f>IF(COUNTA(L78:L82)=0,"",COUNTIF(L78:L82,"Ya")/5*100)</f>
        <v/>
      </c>
      <c r="M77" s="31" t="str">
        <f>IF(COUNTA(M78:M82)=0,"",COUNTIF(M78:M82,"Ya")/5*100)</f>
        <v/>
      </c>
      <c r="N77" s="31" t="str">
        <f>IF(COUNTA(N78:N82)=0,"",COUNTIF(N78:N82,"Ya")/5*100)</f>
        <v/>
      </c>
      <c r="O77" s="31" t="str">
        <f>IF(COUNTA(O78:O82)=0,"",COUNTIF(O78:O82,"Ya")/5*100)</f>
        <v/>
      </c>
      <c r="P77" s="31" t="str">
        <f>IF(COUNTA(P78:P82)=0,"",COUNTIF(P78:P82,"Ya")/5*100)</f>
        <v/>
      </c>
      <c r="Q77" s="31" t="str">
        <f>IF(COUNTA(Q78:Q82)=0,"",COUNTIF(Q78:Q82,"Ya")/5*100)</f>
        <v/>
      </c>
      <c r="R77" s="31" t="str">
        <f>IF(COUNTA(R78:R82)=0,"",COUNTIF(R78:R82,"Ya")/5*100)</f>
        <v/>
      </c>
      <c r="S77" s="31" t="str">
        <f>IF(COUNTA(S78:S82)=0,"",COUNTIF(S78:S82,"Ya")/5*100)</f>
        <v/>
      </c>
      <c r="T77" s="31" t="str">
        <f>IF(COUNTA(T78:T82)=0,"",COUNTIF(T78:T82,"Ya")/5*100)</f>
        <v/>
      </c>
      <c r="U77" s="31" t="str">
        <f>IF(COUNTA(U78:U82)=0,"",COUNTIF(U78:U82,"Ya")/5*100)</f>
        <v/>
      </c>
      <c r="V77" s="31" t="str">
        <f>IF(COUNTA(V78:V82)=0,"",COUNTIF(V78:V82,"Ya")/5*100)</f>
        <v/>
      </c>
      <c r="W77" s="31" t="str">
        <f>IF(COUNTA(W78:W82)=0,"",COUNTIF(W78:W82,"Ya")/5*100)</f>
        <v/>
      </c>
      <c r="X77" s="31" t="str">
        <f>IF(COUNTA(X78:X82)=0,"",COUNTIF(X78:X82,"Ya")/5*100)</f>
        <v/>
      </c>
      <c r="Y77" s="31" t="str">
        <f>IF(COUNTA(Y78:Y82)=0,"",COUNTIF(Y78:Y82,"Ya")/5*100)</f>
        <v/>
      </c>
      <c r="Z77" s="31" t="str">
        <f>_xlfn.IFERROR(AVERAGE(E77:Y77),"")</f>
        <v/>
      </c>
    </row>
    <row r="78" spans="8:8" ht="25.0" customHeight="1">
      <c r="A78" s="32"/>
      <c r="B78" s="33" t="s">
        <v>349</v>
      </c>
      <c r="C78" s="34" t="s">
        <v>350</v>
      </c>
      <c r="D78" s="32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8:8" ht="25.0" customHeight="1">
      <c r="A79" s="32"/>
      <c r="B79" s="33" t="s">
        <v>351</v>
      </c>
      <c r="C79" s="34" t="s">
        <v>352</v>
      </c>
      <c r="D79" s="32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8:8" ht="25.0" customHeight="1">
      <c r="A80" s="32"/>
      <c r="B80" s="33" t="s">
        <v>353</v>
      </c>
      <c r="C80" s="34" t="s">
        <v>354</v>
      </c>
      <c r="D80" s="32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8:8" ht="25.0" customHeight="1">
      <c r="A81" s="32"/>
      <c r="B81" s="33" t="s">
        <v>355</v>
      </c>
      <c r="C81" s="34" t="s">
        <v>356</v>
      </c>
      <c r="D81" s="32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8:8" ht="25.0" customHeight="1">
      <c r="A82" s="32"/>
      <c r="B82" s="33" t="s">
        <v>357</v>
      </c>
      <c r="C82" s="34" t="s">
        <v>358</v>
      </c>
      <c r="D82" s="32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8:8" ht="28.0" customHeight="1">
      <c r="A83" s="28"/>
      <c r="B83" s="29" t="s">
        <v>359</v>
      </c>
      <c r="C83" s="30" t="s">
        <v>360</v>
      </c>
      <c r="D83" s="29">
        <v>5.0</v>
      </c>
      <c r="E83" s="31" t="str">
        <f>IF(COUNTA(E84:E88)=0,"",COUNTIF(E84:E88,"Ya")/5*100)</f>
        <v/>
      </c>
      <c r="F83" s="31" t="str">
        <f>IF(COUNTA(F84:F88)=0,"",COUNTIF(F84:F88,"Ya")/5*100)</f>
        <v/>
      </c>
      <c r="G83" s="31" t="str">
        <f>IF(COUNTA(G84:G88)=0,"",COUNTIF(G84:G88,"Ya")/5*100)</f>
        <v/>
      </c>
      <c r="H83" s="31" t="str">
        <f>IF(COUNTA(H84:H88)=0,"",COUNTIF(H84:H88,"Ya")/5*100)</f>
        <v/>
      </c>
      <c r="I83" s="31" t="str">
        <f>IF(COUNTA(I84:I88)=0,"",COUNTIF(I84:I88,"Ya")/5*100)</f>
        <v/>
      </c>
      <c r="J83" s="31" t="str">
        <f>IF(COUNTA(J84:J88)=0,"",COUNTIF(J84:J88,"Ya")/5*100)</f>
        <v/>
      </c>
      <c r="K83" s="31" t="str">
        <f>IF(COUNTA(K84:K88)=0,"",COUNTIF(K84:K88,"Ya")/5*100)</f>
        <v/>
      </c>
      <c r="L83" s="31" t="str">
        <f>IF(COUNTA(L84:L88)=0,"",COUNTIF(L84:L88,"Ya")/5*100)</f>
        <v/>
      </c>
      <c r="M83" s="31" t="str">
        <f>IF(COUNTA(M84:M88)=0,"",COUNTIF(M84:M88,"Ya")/5*100)</f>
        <v/>
      </c>
      <c r="N83" s="31" t="str">
        <f>IF(COUNTA(N84:N88)=0,"",COUNTIF(N84:N88,"Ya")/5*100)</f>
        <v/>
      </c>
      <c r="O83" s="31" t="str">
        <f>IF(COUNTA(O84:O88)=0,"",COUNTIF(O84:O88,"Ya")/5*100)</f>
        <v/>
      </c>
      <c r="P83" s="31" t="str">
        <f>IF(COUNTA(P84:P88)=0,"",COUNTIF(P84:P88,"Ya")/5*100)</f>
        <v/>
      </c>
      <c r="Q83" s="31" t="str">
        <f>IF(COUNTA(Q84:Q88)=0,"",COUNTIF(Q84:Q88,"Ya")/5*100)</f>
        <v/>
      </c>
      <c r="R83" s="31" t="str">
        <f>IF(COUNTA(R84:R88)=0,"",COUNTIF(R84:R88,"Ya")/5*100)</f>
        <v/>
      </c>
      <c r="S83" s="31" t="str">
        <f>IF(COUNTA(S84:S88)=0,"",COUNTIF(S84:S88,"Ya")/5*100)</f>
        <v/>
      </c>
      <c r="T83" s="31" t="str">
        <f>IF(COUNTA(T84:T88)=0,"",COUNTIF(T84:T88,"Ya")/5*100)</f>
        <v/>
      </c>
      <c r="U83" s="31" t="str">
        <f>IF(COUNTA(U84:U88)=0,"",COUNTIF(U84:U88,"Ya")/5*100)</f>
        <v/>
      </c>
      <c r="V83" s="31" t="str">
        <f>IF(COUNTA(V84:V88)=0,"",COUNTIF(V84:V88,"Ya")/5*100)</f>
        <v/>
      </c>
      <c r="W83" s="31" t="str">
        <f>IF(COUNTA(W84:W88)=0,"",COUNTIF(W84:W88,"Ya")/5*100)</f>
        <v/>
      </c>
      <c r="X83" s="31" t="str">
        <f>IF(COUNTA(X84:X88)=0,"",COUNTIF(X84:X88,"Ya")/5*100)</f>
        <v/>
      </c>
      <c r="Y83" s="31" t="str">
        <f>IF(COUNTA(Y84:Y88)=0,"",COUNTIF(Y84:Y88,"Ya")/5*100)</f>
        <v/>
      </c>
      <c r="Z83" s="31" t="str">
        <f>_xlfn.IFERROR(AVERAGE(E83:Y83),"")</f>
        <v/>
      </c>
    </row>
    <row r="84" spans="8:8" ht="25.0" customHeight="1">
      <c r="A84" s="32"/>
      <c r="B84" s="33" t="s">
        <v>361</v>
      </c>
      <c r="C84" s="34" t="s">
        <v>362</v>
      </c>
      <c r="D84" s="32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8:8" ht="25.0" customHeight="1">
      <c r="A85" s="32"/>
      <c r="B85" s="33" t="s">
        <v>363</v>
      </c>
      <c r="C85" s="34" t="s">
        <v>364</v>
      </c>
      <c r="D85" s="32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8:8" ht="25.0" customHeight="1">
      <c r="A86" s="32"/>
      <c r="B86" s="33" t="s">
        <v>365</v>
      </c>
      <c r="C86" s="34" t="s">
        <v>366</v>
      </c>
      <c r="D86" s="32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8:8" ht="25.0" customHeight="1">
      <c r="A87" s="32"/>
      <c r="B87" s="33" t="s">
        <v>367</v>
      </c>
      <c r="C87" s="34" t="s">
        <v>368</v>
      </c>
      <c r="D87" s="32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spans="8:8" ht="25.0" customHeight="1">
      <c r="A88" s="32"/>
      <c r="B88" s="33" t="s">
        <v>369</v>
      </c>
      <c r="C88" s="34" t="s">
        <v>370</v>
      </c>
      <c r="D88" s="32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spans="8:8" ht="18.0" customHeight="1">
      <c r="A89" s="36"/>
      <c r="B89" s="36"/>
      <c r="C89" s="37" t="s">
        <v>371</v>
      </c>
      <c r="D89" s="38">
        <v>20.0</v>
      </c>
      <c r="E89" s="39" t="str">
        <f>IF((IF(ISNUMBER(E65),5,0)+IF(ISNUMBER(E71),5,0)+IF(ISNUMBER(E77),5,0)+IF(ISNUMBER(E83),5,0))=0,"",(IF(ISNUMBER(E65),E65*5,0)+IF(ISNUMBER(E71),E71*5,0)+IF(ISNUMBER(E77),E77*5,0)+IF(ISNUMBER(E83),E83*5,0))/(IF(ISNUMBER(E65),5,0)+IF(ISNUMBER(E71),5,0)+IF(ISNUMBER(E77),5,0)+IF(ISNUMBER(E83),5,0)))</f>
        <v/>
      </c>
      <c r="F89" s="39" t="str">
        <f>IF((IF(ISNUMBER(F65),5,0)+IF(ISNUMBER(F71),5,0)+IF(ISNUMBER(F77),5,0)+IF(ISNUMBER(F83),5,0))=0,"",(IF(ISNUMBER(F65),F65*5,0)+IF(ISNUMBER(F71),F71*5,0)+IF(ISNUMBER(F77),F77*5,0)+IF(ISNUMBER(F83),F83*5,0))/(IF(ISNUMBER(F65),5,0)+IF(ISNUMBER(F71),5,0)+IF(ISNUMBER(F77),5,0)+IF(ISNUMBER(F83),5,0)))</f>
        <v/>
      </c>
      <c r="G89" s="39" t="str">
        <f>IF((IF(ISNUMBER(G65),5,0)+IF(ISNUMBER(G71),5,0)+IF(ISNUMBER(G77),5,0)+IF(ISNUMBER(G83),5,0))=0,"",(IF(ISNUMBER(G65),G65*5,0)+IF(ISNUMBER(G71),G71*5,0)+IF(ISNUMBER(G77),G77*5,0)+IF(ISNUMBER(G83),G83*5,0))/(IF(ISNUMBER(G65),5,0)+IF(ISNUMBER(G71),5,0)+IF(ISNUMBER(G77),5,0)+IF(ISNUMBER(G83),5,0)))</f>
        <v/>
      </c>
      <c r="H89" s="39" t="str">
        <f>IF((IF(ISNUMBER(H65),5,0)+IF(ISNUMBER(H71),5,0)+IF(ISNUMBER(H77),5,0)+IF(ISNUMBER(H83),5,0))=0,"",(IF(ISNUMBER(H65),H65*5,0)+IF(ISNUMBER(H71),H71*5,0)+IF(ISNUMBER(H77),H77*5,0)+IF(ISNUMBER(H83),H83*5,0))/(IF(ISNUMBER(H65),5,0)+IF(ISNUMBER(H71),5,0)+IF(ISNUMBER(H77),5,0)+IF(ISNUMBER(H83),5,0)))</f>
        <v/>
      </c>
      <c r="I89" s="39" t="str">
        <f>IF((IF(ISNUMBER(I65),5,0)+IF(ISNUMBER(I71),5,0)+IF(ISNUMBER(I77),5,0)+IF(ISNUMBER(I83),5,0))=0,"",(IF(ISNUMBER(I65),I65*5,0)+IF(ISNUMBER(I71),I71*5,0)+IF(ISNUMBER(I77),I77*5,0)+IF(ISNUMBER(I83),I83*5,0))/(IF(ISNUMBER(I65),5,0)+IF(ISNUMBER(I71),5,0)+IF(ISNUMBER(I77),5,0)+IF(ISNUMBER(I83),5,0)))</f>
        <v/>
      </c>
      <c r="J89" s="39" t="str">
        <f>IF((IF(ISNUMBER(J65),5,0)+IF(ISNUMBER(J71),5,0)+IF(ISNUMBER(J77),5,0)+IF(ISNUMBER(J83),5,0))=0,"",(IF(ISNUMBER(J65),J65*5,0)+IF(ISNUMBER(J71),J71*5,0)+IF(ISNUMBER(J77),J77*5,0)+IF(ISNUMBER(J83),J83*5,0))/(IF(ISNUMBER(J65),5,0)+IF(ISNUMBER(J71),5,0)+IF(ISNUMBER(J77),5,0)+IF(ISNUMBER(J83),5,0)))</f>
        <v/>
      </c>
      <c r="K89" s="39" t="str">
        <f>IF((IF(ISNUMBER(K65),5,0)+IF(ISNUMBER(K71),5,0)+IF(ISNUMBER(K77),5,0)+IF(ISNUMBER(K83),5,0))=0,"",(IF(ISNUMBER(K65),K65*5,0)+IF(ISNUMBER(K71),K71*5,0)+IF(ISNUMBER(K77),K77*5,0)+IF(ISNUMBER(K83),K83*5,0))/(IF(ISNUMBER(K65),5,0)+IF(ISNUMBER(K71),5,0)+IF(ISNUMBER(K77),5,0)+IF(ISNUMBER(K83),5,0)))</f>
        <v/>
      </c>
      <c r="L89" s="39" t="str">
        <f>IF((IF(ISNUMBER(L65),5,0)+IF(ISNUMBER(L71),5,0)+IF(ISNUMBER(L77),5,0)+IF(ISNUMBER(L83),5,0))=0,"",(IF(ISNUMBER(L65),L65*5,0)+IF(ISNUMBER(L71),L71*5,0)+IF(ISNUMBER(L77),L77*5,0)+IF(ISNUMBER(L83),L83*5,0))/(IF(ISNUMBER(L65),5,0)+IF(ISNUMBER(L71),5,0)+IF(ISNUMBER(L77),5,0)+IF(ISNUMBER(L83),5,0)))</f>
        <v/>
      </c>
      <c r="M89" s="39" t="str">
        <f>IF((IF(ISNUMBER(M65),5,0)+IF(ISNUMBER(M71),5,0)+IF(ISNUMBER(M77),5,0)+IF(ISNUMBER(M83),5,0))=0,"",(IF(ISNUMBER(M65),M65*5,0)+IF(ISNUMBER(M71),M71*5,0)+IF(ISNUMBER(M77),M77*5,0)+IF(ISNUMBER(M83),M83*5,0))/(IF(ISNUMBER(M65),5,0)+IF(ISNUMBER(M71),5,0)+IF(ISNUMBER(M77),5,0)+IF(ISNUMBER(M83),5,0)))</f>
        <v/>
      </c>
      <c r="N89" s="39" t="str">
        <f>IF((IF(ISNUMBER(N65),5,0)+IF(ISNUMBER(N71),5,0)+IF(ISNUMBER(N77),5,0)+IF(ISNUMBER(N83),5,0))=0,"",(IF(ISNUMBER(N65),N65*5,0)+IF(ISNUMBER(N71),N71*5,0)+IF(ISNUMBER(N77),N77*5,0)+IF(ISNUMBER(N83),N83*5,0))/(IF(ISNUMBER(N65),5,0)+IF(ISNUMBER(N71),5,0)+IF(ISNUMBER(N77),5,0)+IF(ISNUMBER(N83),5,0)))</f>
        <v/>
      </c>
      <c r="O89" s="39" t="str">
        <f>IF((IF(ISNUMBER(O65),5,0)+IF(ISNUMBER(O71),5,0)+IF(ISNUMBER(O77),5,0)+IF(ISNUMBER(O83),5,0))=0,"",(IF(ISNUMBER(O65),O65*5,0)+IF(ISNUMBER(O71),O71*5,0)+IF(ISNUMBER(O77),O77*5,0)+IF(ISNUMBER(O83),O83*5,0))/(IF(ISNUMBER(O65),5,0)+IF(ISNUMBER(O71),5,0)+IF(ISNUMBER(O77),5,0)+IF(ISNUMBER(O83),5,0)))</f>
        <v/>
      </c>
      <c r="P89" s="39" t="str">
        <f>IF((IF(ISNUMBER(P65),5,0)+IF(ISNUMBER(P71),5,0)+IF(ISNUMBER(P77),5,0)+IF(ISNUMBER(P83),5,0))=0,"",(IF(ISNUMBER(P65),P65*5,0)+IF(ISNUMBER(P71),P71*5,0)+IF(ISNUMBER(P77),P77*5,0)+IF(ISNUMBER(P83),P83*5,0))/(IF(ISNUMBER(P65),5,0)+IF(ISNUMBER(P71),5,0)+IF(ISNUMBER(P77),5,0)+IF(ISNUMBER(P83),5,0)))</f>
        <v/>
      </c>
      <c r="Q89" s="39" t="str">
        <f>IF((IF(ISNUMBER(Q65),5,0)+IF(ISNUMBER(Q71),5,0)+IF(ISNUMBER(Q77),5,0)+IF(ISNUMBER(Q83),5,0))=0,"",(IF(ISNUMBER(Q65),Q65*5,0)+IF(ISNUMBER(Q71),Q71*5,0)+IF(ISNUMBER(Q77),Q77*5,0)+IF(ISNUMBER(Q83),Q83*5,0))/(IF(ISNUMBER(Q65),5,0)+IF(ISNUMBER(Q71),5,0)+IF(ISNUMBER(Q77),5,0)+IF(ISNUMBER(Q83),5,0)))</f>
        <v/>
      </c>
      <c r="R89" s="39" t="str">
        <f>IF((IF(ISNUMBER(R65),5,0)+IF(ISNUMBER(R71),5,0)+IF(ISNUMBER(R77),5,0)+IF(ISNUMBER(R83),5,0))=0,"",(IF(ISNUMBER(R65),R65*5,0)+IF(ISNUMBER(R71),R71*5,0)+IF(ISNUMBER(R77),R77*5,0)+IF(ISNUMBER(R83),R83*5,0))/(IF(ISNUMBER(R65),5,0)+IF(ISNUMBER(R71),5,0)+IF(ISNUMBER(R77),5,0)+IF(ISNUMBER(R83),5,0)))</f>
        <v/>
      </c>
      <c r="S89" s="39" t="str">
        <f>IF((IF(ISNUMBER(S65),5,0)+IF(ISNUMBER(S71),5,0)+IF(ISNUMBER(S77),5,0)+IF(ISNUMBER(S83),5,0))=0,"",(IF(ISNUMBER(S65),S65*5,0)+IF(ISNUMBER(S71),S71*5,0)+IF(ISNUMBER(S77),S77*5,0)+IF(ISNUMBER(S83),S83*5,0))/(IF(ISNUMBER(S65),5,0)+IF(ISNUMBER(S71),5,0)+IF(ISNUMBER(S77),5,0)+IF(ISNUMBER(S83),5,0)))</f>
        <v/>
      </c>
      <c r="T89" s="39" t="str">
        <f>IF((IF(ISNUMBER(T65),5,0)+IF(ISNUMBER(T71),5,0)+IF(ISNUMBER(T77),5,0)+IF(ISNUMBER(T83),5,0))=0,"",(IF(ISNUMBER(T65),T65*5,0)+IF(ISNUMBER(T71),T71*5,0)+IF(ISNUMBER(T77),T77*5,0)+IF(ISNUMBER(T83),T83*5,0))/(IF(ISNUMBER(T65),5,0)+IF(ISNUMBER(T71),5,0)+IF(ISNUMBER(T77),5,0)+IF(ISNUMBER(T83),5,0)))</f>
        <v/>
      </c>
      <c r="U89" s="39" t="str">
        <f>IF((IF(ISNUMBER(U65),5,0)+IF(ISNUMBER(U71),5,0)+IF(ISNUMBER(U77),5,0)+IF(ISNUMBER(U83),5,0))=0,"",(IF(ISNUMBER(U65),U65*5,0)+IF(ISNUMBER(U71),U71*5,0)+IF(ISNUMBER(U77),U77*5,0)+IF(ISNUMBER(U83),U83*5,0))/(IF(ISNUMBER(U65),5,0)+IF(ISNUMBER(U71),5,0)+IF(ISNUMBER(U77),5,0)+IF(ISNUMBER(U83),5,0)))</f>
        <v/>
      </c>
      <c r="V89" s="39" t="str">
        <f>IF((IF(ISNUMBER(V65),5,0)+IF(ISNUMBER(V71),5,0)+IF(ISNUMBER(V77),5,0)+IF(ISNUMBER(V83),5,0))=0,"",(IF(ISNUMBER(V65),V65*5,0)+IF(ISNUMBER(V71),V71*5,0)+IF(ISNUMBER(V77),V77*5,0)+IF(ISNUMBER(V83),V83*5,0))/(IF(ISNUMBER(V65),5,0)+IF(ISNUMBER(V71),5,0)+IF(ISNUMBER(V77),5,0)+IF(ISNUMBER(V83),5,0)))</f>
        <v/>
      </c>
      <c r="W89" s="39" t="str">
        <f>IF((IF(ISNUMBER(W65),5,0)+IF(ISNUMBER(W71),5,0)+IF(ISNUMBER(W77),5,0)+IF(ISNUMBER(W83),5,0))=0,"",(IF(ISNUMBER(W65),W65*5,0)+IF(ISNUMBER(W71),W71*5,0)+IF(ISNUMBER(W77),W77*5,0)+IF(ISNUMBER(W83),W83*5,0))/(IF(ISNUMBER(W65),5,0)+IF(ISNUMBER(W71),5,0)+IF(ISNUMBER(W77),5,0)+IF(ISNUMBER(W83),5,0)))</f>
        <v/>
      </c>
      <c r="X89" s="39" t="str">
        <f>IF((IF(ISNUMBER(X65),5,0)+IF(ISNUMBER(X71),5,0)+IF(ISNUMBER(X77),5,0)+IF(ISNUMBER(X83),5,0))=0,"",(IF(ISNUMBER(X65),X65*5,0)+IF(ISNUMBER(X71),X71*5,0)+IF(ISNUMBER(X77),X77*5,0)+IF(ISNUMBER(X83),X83*5,0))/(IF(ISNUMBER(X65),5,0)+IF(ISNUMBER(X71),5,0)+IF(ISNUMBER(X77),5,0)+IF(ISNUMBER(X83),5,0)))</f>
        <v/>
      </c>
      <c r="Y89" s="39" t="str">
        <f>IF((IF(ISNUMBER(Y65),5,0)+IF(ISNUMBER(Y71),5,0)+IF(ISNUMBER(Y77),5,0)+IF(ISNUMBER(Y83),5,0))=0,"",(IF(ISNUMBER(Y65),Y65*5,0)+IF(ISNUMBER(Y71),Y71*5,0)+IF(ISNUMBER(Y77),Y77*5,0)+IF(ISNUMBER(Y83),Y83*5,0))/(IF(ISNUMBER(Y65),5,0)+IF(ISNUMBER(Y71),5,0)+IF(ISNUMBER(Y77),5,0)+IF(ISNUMBER(Y83),5,0)))</f>
        <v/>
      </c>
      <c r="Z89" s="39" t="str">
        <f>_xlfn.IFERROR(AVERAGE(E89:Y89),"")</f>
        <v/>
      </c>
    </row>
    <row r="90" spans="8:8" ht="20.0" customHeight="1">
      <c r="A90" s="18" t="s">
        <v>372</v>
      </c>
    </row>
    <row r="91" spans="8:8" ht="40.0" customHeight="1">
      <c r="A91" s="28"/>
      <c r="B91" s="29" t="s">
        <v>373</v>
      </c>
      <c r="C91" s="30" t="s">
        <v>374</v>
      </c>
      <c r="D91" s="29">
        <v>10.0</v>
      </c>
      <c r="E91" s="31" t="str">
        <f>IF(COUNTA(E92:E96)=0,"",COUNTIF(E92:E96,"Ya")/5*100)</f>
        <v/>
      </c>
      <c r="F91" s="31" t="str">
        <f>IF(COUNTA(F92:F96)=0,"",COUNTIF(F92:F96,"Ya")/5*100)</f>
        <v/>
      </c>
      <c r="G91" s="31" t="str">
        <f>IF(COUNTA(G92:G96)=0,"",COUNTIF(G92:G96,"Ya")/5*100)</f>
        <v/>
      </c>
      <c r="H91" s="31" t="str">
        <f>IF(COUNTA(H92:H96)=0,"",COUNTIF(H92:H96,"Ya")/5*100)</f>
        <v/>
      </c>
      <c r="I91" s="31" t="str">
        <f>IF(COUNTA(I92:I96)=0,"",COUNTIF(I92:I96,"Ya")/5*100)</f>
        <v/>
      </c>
      <c r="J91" s="31" t="str">
        <f>IF(COUNTA(J92:J96)=0,"",COUNTIF(J92:J96,"Ya")/5*100)</f>
        <v/>
      </c>
      <c r="K91" s="31" t="str">
        <f>IF(COUNTA(K92:K96)=0,"",COUNTIF(K92:K96,"Ya")/5*100)</f>
        <v/>
      </c>
      <c r="L91" s="31" t="str">
        <f>IF(COUNTA(L92:L96)=0,"",COUNTIF(L92:L96,"Ya")/5*100)</f>
        <v/>
      </c>
      <c r="M91" s="31" t="str">
        <f>IF(COUNTA(M92:M96)=0,"",COUNTIF(M92:M96,"Ya")/5*100)</f>
        <v/>
      </c>
      <c r="N91" s="31" t="str">
        <f>IF(COUNTA(N92:N96)=0,"",COUNTIF(N92:N96,"Ya")/5*100)</f>
        <v/>
      </c>
      <c r="O91" s="31" t="str">
        <f>IF(COUNTA(O92:O96)=0,"",COUNTIF(O92:O96,"Ya")/5*100)</f>
        <v/>
      </c>
      <c r="P91" s="31" t="str">
        <f>IF(COUNTA(P92:P96)=0,"",COUNTIF(P92:P96,"Ya")/5*100)</f>
        <v/>
      </c>
      <c r="Q91" s="31" t="str">
        <f>IF(COUNTA(Q92:Q96)=0,"",COUNTIF(Q92:Q96,"Ya")/5*100)</f>
        <v/>
      </c>
      <c r="R91" s="31" t="str">
        <f>IF(COUNTA(R92:R96)=0,"",COUNTIF(R92:R96,"Ya")/5*100)</f>
        <v/>
      </c>
      <c r="S91" s="31" t="str">
        <f>IF(COUNTA(S92:S96)=0,"",COUNTIF(S92:S96,"Ya")/5*100)</f>
        <v/>
      </c>
      <c r="T91" s="31" t="str">
        <f>IF(COUNTA(T92:T96)=0,"",COUNTIF(T92:T96,"Ya")/5*100)</f>
        <v/>
      </c>
      <c r="U91" s="31" t="str">
        <f>IF(COUNTA(U92:U96)=0,"",COUNTIF(U92:U96,"Ya")/5*100)</f>
        <v/>
      </c>
      <c r="V91" s="31" t="str">
        <f>IF(COUNTA(V92:V96)=0,"",COUNTIF(V92:V96,"Ya")/5*100)</f>
        <v/>
      </c>
      <c r="W91" s="31" t="str">
        <f>IF(COUNTA(W92:W96)=0,"",COUNTIF(W92:W96,"Ya")/5*100)</f>
        <v/>
      </c>
      <c r="X91" s="31" t="str">
        <f>IF(COUNTA(X92:X96)=0,"",COUNTIF(X92:X96,"Ya")/5*100)</f>
        <v/>
      </c>
      <c r="Y91" s="31" t="str">
        <f>IF(COUNTA(Y92:Y96)=0,"",COUNTIF(Y92:Y96,"Ya")/5*100)</f>
        <v/>
      </c>
      <c r="Z91" s="31" t="str">
        <f>_xlfn.IFERROR(AVERAGE(E91:Y91),"")</f>
        <v/>
      </c>
    </row>
    <row r="92" spans="8:8" ht="14.0" customHeight="1">
      <c r="A92" s="32"/>
      <c r="B92" s="33" t="s">
        <v>375</v>
      </c>
      <c r="C92" s="34" t="s">
        <v>376</v>
      </c>
      <c r="D92" s="32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spans="8:8" ht="25.0" customHeight="1">
      <c r="A93" s="32"/>
      <c r="B93" s="33" t="s">
        <v>377</v>
      </c>
      <c r="C93" s="34" t="s">
        <v>378</v>
      </c>
      <c r="D93" s="32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spans="8:8" ht="25.0" customHeight="1">
      <c r="A94" s="32"/>
      <c r="B94" s="33" t="s">
        <v>379</v>
      </c>
      <c r="C94" s="34" t="s">
        <v>380</v>
      </c>
      <c r="D94" s="32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spans="8:8" ht="25.0" customHeight="1">
      <c r="A95" s="32"/>
      <c r="B95" s="33" t="s">
        <v>381</v>
      </c>
      <c r="C95" s="34" t="s">
        <v>382</v>
      </c>
      <c r="D95" s="32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spans="8:8" ht="25.0" customHeight="1">
      <c r="A96" s="32"/>
      <c r="B96" s="33" t="s">
        <v>383</v>
      </c>
      <c r="C96" s="34" t="s">
        <v>384</v>
      </c>
      <c r="D96" s="32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spans="8:8" ht="40.0" customHeight="1">
      <c r="A97" s="28"/>
      <c r="B97" s="29" t="s">
        <v>385</v>
      </c>
      <c r="C97" s="30" t="s">
        <v>386</v>
      </c>
      <c r="D97" s="29">
        <v>10.0</v>
      </c>
      <c r="E97" s="31" t="str">
        <f>IF(COUNTA(E98:E102)=0,"",COUNTIF(E98:E102,"Ya")/5*100)</f>
        <v/>
      </c>
      <c r="F97" s="31" t="str">
        <f>IF(COUNTA(F98:F102)=0,"",COUNTIF(F98:F102,"Ya")/5*100)</f>
        <v/>
      </c>
      <c r="G97" s="31" t="str">
        <f>IF(COUNTA(G98:G102)=0,"",COUNTIF(G98:G102,"Ya")/5*100)</f>
        <v/>
      </c>
      <c r="H97" s="31" t="str">
        <f>IF(COUNTA(H98:H102)=0,"",COUNTIF(H98:H102,"Ya")/5*100)</f>
        <v/>
      </c>
      <c r="I97" s="31" t="str">
        <f>IF(COUNTA(I98:I102)=0,"",COUNTIF(I98:I102,"Ya")/5*100)</f>
        <v/>
      </c>
      <c r="J97" s="31" t="str">
        <f>IF(COUNTA(J98:J102)=0,"",COUNTIF(J98:J102,"Ya")/5*100)</f>
        <v/>
      </c>
      <c r="K97" s="31" t="str">
        <f>IF(COUNTA(K98:K102)=0,"",COUNTIF(K98:K102,"Ya")/5*100)</f>
        <v/>
      </c>
      <c r="L97" s="31" t="str">
        <f>IF(COUNTA(L98:L102)=0,"",COUNTIF(L98:L102,"Ya")/5*100)</f>
        <v/>
      </c>
      <c r="M97" s="31" t="str">
        <f>IF(COUNTA(M98:M102)=0,"",COUNTIF(M98:M102,"Ya")/5*100)</f>
        <v/>
      </c>
      <c r="N97" s="31" t="str">
        <f>IF(COUNTA(N98:N102)=0,"",COUNTIF(N98:N102,"Ya")/5*100)</f>
        <v/>
      </c>
      <c r="O97" s="31" t="str">
        <f>IF(COUNTA(O98:O102)=0,"",COUNTIF(O98:O102,"Ya")/5*100)</f>
        <v/>
      </c>
      <c r="P97" s="31" t="str">
        <f>IF(COUNTA(P98:P102)=0,"",COUNTIF(P98:P102,"Ya")/5*100)</f>
        <v/>
      </c>
      <c r="Q97" s="31" t="str">
        <f>IF(COUNTA(Q98:Q102)=0,"",COUNTIF(Q98:Q102,"Ya")/5*100)</f>
        <v/>
      </c>
      <c r="R97" s="31" t="str">
        <f>IF(COUNTA(R98:R102)=0,"",COUNTIF(R98:R102,"Ya")/5*100)</f>
        <v/>
      </c>
      <c r="S97" s="31" t="str">
        <f>IF(COUNTA(S98:S102)=0,"",COUNTIF(S98:S102,"Ya")/5*100)</f>
        <v/>
      </c>
      <c r="T97" s="31" t="str">
        <f>IF(COUNTA(T98:T102)=0,"",COUNTIF(T98:T102,"Ya")/5*100)</f>
        <v/>
      </c>
      <c r="U97" s="31" t="str">
        <f>IF(COUNTA(U98:U102)=0,"",COUNTIF(U98:U102,"Ya")/5*100)</f>
        <v/>
      </c>
      <c r="V97" s="31" t="str">
        <f>IF(COUNTA(V98:V102)=0,"",COUNTIF(V98:V102,"Ya")/5*100)</f>
        <v/>
      </c>
      <c r="W97" s="31" t="str">
        <f>IF(COUNTA(W98:W102)=0,"",COUNTIF(W98:W102,"Ya")/5*100)</f>
        <v/>
      </c>
      <c r="X97" s="31" t="str">
        <f>IF(COUNTA(X98:X102)=0,"",COUNTIF(X98:X102,"Ya")/5*100)</f>
        <v/>
      </c>
      <c r="Y97" s="31" t="str">
        <f>IF(COUNTA(Y98:Y102)=0,"",COUNTIF(Y98:Y102,"Ya")/5*100)</f>
        <v/>
      </c>
      <c r="Z97" s="31" t="str">
        <f>_xlfn.IFERROR(AVERAGE(E97:Y97),"")</f>
        <v/>
      </c>
    </row>
    <row r="98" spans="8:8" ht="25.0" customHeight="1">
      <c r="A98" s="32"/>
      <c r="B98" s="33" t="s">
        <v>387</v>
      </c>
      <c r="C98" s="34" t="s">
        <v>388</v>
      </c>
      <c r="D98" s="32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spans="8:8" ht="25.0" customHeight="1">
      <c r="A99" s="32"/>
      <c r="B99" s="33" t="s">
        <v>389</v>
      </c>
      <c r="C99" s="34" t="s">
        <v>390</v>
      </c>
      <c r="D99" s="32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spans="8:8" ht="25.0" customHeight="1">
      <c r="A100" s="32"/>
      <c r="B100" s="33" t="s">
        <v>391</v>
      </c>
      <c r="C100" s="34" t="s">
        <v>392</v>
      </c>
      <c r="D100" s="32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spans="8:8" ht="25.0" customHeight="1">
      <c r="A101" s="32"/>
      <c r="B101" s="33" t="s">
        <v>393</v>
      </c>
      <c r="C101" s="34" t="s">
        <v>394</v>
      </c>
      <c r="D101" s="32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spans="8:8" ht="25.0" customHeight="1">
      <c r="A102" s="32"/>
      <c r="B102" s="33" t="s">
        <v>395</v>
      </c>
      <c r="C102" s="34" t="s">
        <v>396</v>
      </c>
      <c r="D102" s="32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spans="8:8" ht="18.0" customHeight="1">
      <c r="A103" s="36"/>
      <c r="B103" s="36"/>
      <c r="C103" s="37" t="s">
        <v>397</v>
      </c>
      <c r="D103" s="38">
        <v>20.0</v>
      </c>
      <c r="E103" s="39" t="str">
        <f>IF((IF(ISNUMBER(E91),10,0)+IF(ISNUMBER(E97),10,0))=0,"",(IF(ISNUMBER(E91),E91*10,0)+IF(ISNUMBER(E97),E97*10,0))/(IF(ISNUMBER(E91),10,0)+IF(ISNUMBER(E97),10,0)))</f>
        <v/>
      </c>
      <c r="F103" s="39" t="str">
        <f>IF((IF(ISNUMBER(F91),10,0)+IF(ISNUMBER(F97),10,0))=0,"",(IF(ISNUMBER(F91),F91*10,0)+IF(ISNUMBER(F97),F97*10,0))/(IF(ISNUMBER(F91),10,0)+IF(ISNUMBER(F97),10,0)))</f>
        <v/>
      </c>
      <c r="G103" s="39" t="str">
        <f>IF((IF(ISNUMBER(G91),10,0)+IF(ISNUMBER(G97),10,0))=0,"",(IF(ISNUMBER(G91),G91*10,0)+IF(ISNUMBER(G97),G97*10,0))/(IF(ISNUMBER(G91),10,0)+IF(ISNUMBER(G97),10,0)))</f>
        <v/>
      </c>
      <c r="H103" s="39" t="str">
        <f>IF((IF(ISNUMBER(H91),10,0)+IF(ISNUMBER(H97),10,0))=0,"",(IF(ISNUMBER(H91),H91*10,0)+IF(ISNUMBER(H97),H97*10,0))/(IF(ISNUMBER(H91),10,0)+IF(ISNUMBER(H97),10,0)))</f>
        <v/>
      </c>
      <c r="I103" s="39" t="str">
        <f>IF((IF(ISNUMBER(I91),10,0)+IF(ISNUMBER(I97),10,0))=0,"",(IF(ISNUMBER(I91),I91*10,0)+IF(ISNUMBER(I97),I97*10,0))/(IF(ISNUMBER(I91),10,0)+IF(ISNUMBER(I97),10,0)))</f>
        <v/>
      </c>
      <c r="J103" s="39" t="str">
        <f>IF((IF(ISNUMBER(J91),10,0)+IF(ISNUMBER(J97),10,0))=0,"",(IF(ISNUMBER(J91),J91*10,0)+IF(ISNUMBER(J97),J97*10,0))/(IF(ISNUMBER(J91),10,0)+IF(ISNUMBER(J97),10,0)))</f>
        <v/>
      </c>
      <c r="K103" s="39" t="str">
        <f>IF((IF(ISNUMBER(K91),10,0)+IF(ISNUMBER(K97),10,0))=0,"",(IF(ISNUMBER(K91),K91*10,0)+IF(ISNUMBER(K97),K97*10,0))/(IF(ISNUMBER(K91),10,0)+IF(ISNUMBER(K97),10,0)))</f>
        <v/>
      </c>
      <c r="L103" s="39" t="str">
        <f>IF((IF(ISNUMBER(L91),10,0)+IF(ISNUMBER(L97),10,0))=0,"",(IF(ISNUMBER(L91),L91*10,0)+IF(ISNUMBER(L97),L97*10,0))/(IF(ISNUMBER(L91),10,0)+IF(ISNUMBER(L97),10,0)))</f>
        <v/>
      </c>
      <c r="M103" s="39" t="str">
        <f>IF((IF(ISNUMBER(M91),10,0)+IF(ISNUMBER(M97),10,0))=0,"",(IF(ISNUMBER(M91),M91*10,0)+IF(ISNUMBER(M97),M97*10,0))/(IF(ISNUMBER(M91),10,0)+IF(ISNUMBER(M97),10,0)))</f>
        <v/>
      </c>
      <c r="N103" s="39" t="str">
        <f>IF((IF(ISNUMBER(N91),10,0)+IF(ISNUMBER(N97),10,0))=0,"",(IF(ISNUMBER(N91),N91*10,0)+IF(ISNUMBER(N97),N97*10,0))/(IF(ISNUMBER(N91),10,0)+IF(ISNUMBER(N97),10,0)))</f>
        <v/>
      </c>
      <c r="O103" s="39" t="str">
        <f>IF((IF(ISNUMBER(O91),10,0)+IF(ISNUMBER(O97),10,0))=0,"",(IF(ISNUMBER(O91),O91*10,0)+IF(ISNUMBER(O97),O97*10,0))/(IF(ISNUMBER(O91),10,0)+IF(ISNUMBER(O97),10,0)))</f>
        <v/>
      </c>
      <c r="P103" s="39" t="str">
        <f>IF((IF(ISNUMBER(P91),10,0)+IF(ISNUMBER(P97),10,0))=0,"",(IF(ISNUMBER(P91),P91*10,0)+IF(ISNUMBER(P97),P97*10,0))/(IF(ISNUMBER(P91),10,0)+IF(ISNUMBER(P97),10,0)))</f>
        <v/>
      </c>
      <c r="Q103" s="39" t="str">
        <f>IF((IF(ISNUMBER(Q91),10,0)+IF(ISNUMBER(Q97),10,0))=0,"",(IF(ISNUMBER(Q91),Q91*10,0)+IF(ISNUMBER(Q97),Q97*10,0))/(IF(ISNUMBER(Q91),10,0)+IF(ISNUMBER(Q97),10,0)))</f>
        <v/>
      </c>
      <c r="R103" s="39" t="str">
        <f>IF((IF(ISNUMBER(R91),10,0)+IF(ISNUMBER(R97),10,0))=0,"",(IF(ISNUMBER(R91),R91*10,0)+IF(ISNUMBER(R97),R97*10,0))/(IF(ISNUMBER(R91),10,0)+IF(ISNUMBER(R97),10,0)))</f>
        <v/>
      </c>
      <c r="S103" s="39" t="str">
        <f>IF((IF(ISNUMBER(S91),10,0)+IF(ISNUMBER(S97),10,0))=0,"",(IF(ISNUMBER(S91),S91*10,0)+IF(ISNUMBER(S97),S97*10,0))/(IF(ISNUMBER(S91),10,0)+IF(ISNUMBER(S97),10,0)))</f>
        <v/>
      </c>
      <c r="T103" s="39" t="str">
        <f>IF((IF(ISNUMBER(T91),10,0)+IF(ISNUMBER(T97),10,0))=0,"",(IF(ISNUMBER(T91),T91*10,0)+IF(ISNUMBER(T97),T97*10,0))/(IF(ISNUMBER(T91),10,0)+IF(ISNUMBER(T97),10,0)))</f>
        <v/>
      </c>
      <c r="U103" s="39" t="str">
        <f>IF((IF(ISNUMBER(U91),10,0)+IF(ISNUMBER(U97),10,0))=0,"",(IF(ISNUMBER(U91),U91*10,0)+IF(ISNUMBER(U97),U97*10,0))/(IF(ISNUMBER(U91),10,0)+IF(ISNUMBER(U97),10,0)))</f>
        <v/>
      </c>
      <c r="V103" s="39" t="str">
        <f>IF((IF(ISNUMBER(V91),10,0)+IF(ISNUMBER(V97),10,0))=0,"",(IF(ISNUMBER(V91),V91*10,0)+IF(ISNUMBER(V97),V97*10,0))/(IF(ISNUMBER(V91),10,0)+IF(ISNUMBER(V97),10,0)))</f>
        <v/>
      </c>
      <c r="W103" s="39" t="str">
        <f>IF((IF(ISNUMBER(W91),10,0)+IF(ISNUMBER(W97),10,0))=0,"",(IF(ISNUMBER(W91),W91*10,0)+IF(ISNUMBER(W97),W97*10,0))/(IF(ISNUMBER(W91),10,0)+IF(ISNUMBER(W97),10,0)))</f>
        <v/>
      </c>
      <c r="X103" s="39" t="str">
        <f>IF((IF(ISNUMBER(X91),10,0)+IF(ISNUMBER(X97),10,0))=0,"",(IF(ISNUMBER(X91),X91*10,0)+IF(ISNUMBER(X97),X97*10,0))/(IF(ISNUMBER(X91),10,0)+IF(ISNUMBER(X97),10,0)))</f>
        <v/>
      </c>
      <c r="Y103" s="39" t="str">
        <f>IF((IF(ISNUMBER(Y91),10,0)+IF(ISNUMBER(Y97),10,0))=0,"",(IF(ISNUMBER(Y91),Y91*10,0)+IF(ISNUMBER(Y97),Y97*10,0))/(IF(ISNUMBER(Y91),10,0)+IF(ISNUMBER(Y97),10,0)))</f>
        <v/>
      </c>
      <c r="Z103" s="39" t="str">
        <f>_xlfn.IFERROR(AVERAGE(E103:Y103),"")</f>
        <v/>
      </c>
    </row>
    <row r="104" spans="8:8" ht="20.0" customHeight="1">
      <c r="A104" s="18" t="s">
        <v>398</v>
      </c>
    </row>
    <row r="105" spans="8:8" ht="28.0" customHeight="1">
      <c r="A105" s="28"/>
      <c r="B105" s="29" t="s">
        <v>399</v>
      </c>
      <c r="C105" s="30" t="s">
        <v>400</v>
      </c>
      <c r="D105" s="29">
        <v>20.0</v>
      </c>
      <c r="E105" s="31" t="str">
        <f>IF(COUNTA(E106:E110)=0,"",COUNTIF(E106:E110,"Ya")/5*100)</f>
        <v/>
      </c>
      <c r="F105" s="31" t="str">
        <f>IF(COUNTA(F106:F110)=0,"",COUNTIF(F106:F110,"Ya")/5*100)</f>
        <v/>
      </c>
      <c r="G105" s="31" t="str">
        <f>IF(COUNTA(G106:G110)=0,"",COUNTIF(G106:G110,"Ya")/5*100)</f>
        <v/>
      </c>
      <c r="H105" s="31" t="str">
        <f>IF(COUNTA(H106:H110)=0,"",COUNTIF(H106:H110,"Ya")/5*100)</f>
        <v/>
      </c>
      <c r="I105" s="31" t="str">
        <f>IF(COUNTA(I106:I110)=0,"",COUNTIF(I106:I110,"Ya")/5*100)</f>
        <v/>
      </c>
      <c r="J105" s="31" t="str">
        <f>IF(COUNTA(J106:J110)=0,"",COUNTIF(J106:J110,"Ya")/5*100)</f>
        <v/>
      </c>
      <c r="K105" s="31" t="str">
        <f>IF(COUNTA(K106:K110)=0,"",COUNTIF(K106:K110,"Ya")/5*100)</f>
        <v/>
      </c>
      <c r="L105" s="31" t="str">
        <f>IF(COUNTA(L106:L110)=0,"",COUNTIF(L106:L110,"Ya")/5*100)</f>
        <v/>
      </c>
      <c r="M105" s="31" t="str">
        <f>IF(COUNTA(M106:M110)=0,"",COUNTIF(M106:M110,"Ya")/5*100)</f>
        <v/>
      </c>
      <c r="N105" s="31" t="str">
        <f>IF(COUNTA(N106:N110)=0,"",COUNTIF(N106:N110,"Ya")/5*100)</f>
        <v/>
      </c>
      <c r="O105" s="31" t="str">
        <f>IF(COUNTA(O106:O110)=0,"",COUNTIF(O106:O110,"Ya")/5*100)</f>
        <v/>
      </c>
      <c r="P105" s="31" t="str">
        <f>IF(COUNTA(P106:P110)=0,"",COUNTIF(P106:P110,"Ya")/5*100)</f>
        <v/>
      </c>
      <c r="Q105" s="31" t="str">
        <f>IF(COUNTA(Q106:Q110)=0,"",COUNTIF(Q106:Q110,"Ya")/5*100)</f>
        <v/>
      </c>
      <c r="R105" s="31" t="str">
        <f>IF(COUNTA(R106:R110)=0,"",COUNTIF(R106:R110,"Ya")/5*100)</f>
        <v/>
      </c>
      <c r="S105" s="31" t="str">
        <f>IF(COUNTA(S106:S110)=0,"",COUNTIF(S106:S110,"Ya")/5*100)</f>
        <v/>
      </c>
      <c r="T105" s="31" t="str">
        <f>IF(COUNTA(T106:T110)=0,"",COUNTIF(T106:T110,"Ya")/5*100)</f>
        <v/>
      </c>
      <c r="U105" s="31" t="str">
        <f>IF(COUNTA(U106:U110)=0,"",COUNTIF(U106:U110,"Ya")/5*100)</f>
        <v/>
      </c>
      <c r="V105" s="31" t="str">
        <f>IF(COUNTA(V106:V110)=0,"",COUNTIF(V106:V110,"Ya")/5*100)</f>
        <v/>
      </c>
      <c r="W105" s="31" t="str">
        <f>IF(COUNTA(W106:W110)=0,"",COUNTIF(W106:W110,"Ya")/5*100)</f>
        <v/>
      </c>
      <c r="X105" s="31" t="str">
        <f>IF(COUNTA(X106:X110)=0,"",COUNTIF(X106:X110,"Ya")/5*100)</f>
        <v/>
      </c>
      <c r="Y105" s="31" t="str">
        <f>IF(COUNTA(Y106:Y110)=0,"",COUNTIF(Y106:Y110,"Ya")/5*100)</f>
        <v/>
      </c>
      <c r="Z105" s="31" t="str">
        <f>_xlfn.IFERROR(AVERAGE(E105:Y105),"")</f>
        <v/>
      </c>
    </row>
    <row r="106" spans="8:8" ht="25.0" customHeight="1">
      <c r="A106" s="32"/>
      <c r="B106" s="33" t="s">
        <v>401</v>
      </c>
      <c r="C106" s="34" t="s">
        <v>402</v>
      </c>
      <c r="D106" s="32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spans="8:8" ht="25.0" customHeight="1">
      <c r="A107" s="32"/>
      <c r="B107" s="33" t="s">
        <v>403</v>
      </c>
      <c r="C107" s="34" t="s">
        <v>404</v>
      </c>
      <c r="D107" s="32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spans="8:8" ht="14.0" customHeight="1">
      <c r="A108" s="32"/>
      <c r="B108" s="33" t="s">
        <v>405</v>
      </c>
      <c r="C108" s="34" t="s">
        <v>406</v>
      </c>
      <c r="D108" s="32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spans="8:8" ht="25.0" customHeight="1">
      <c r="A109" s="32"/>
      <c r="B109" s="33" t="s">
        <v>407</v>
      </c>
      <c r="C109" s="34" t="s">
        <v>408</v>
      </c>
      <c r="D109" s="32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spans="8:8" ht="25.0" customHeight="1">
      <c r="A110" s="32"/>
      <c r="B110" s="33" t="s">
        <v>409</v>
      </c>
      <c r="C110" s="34" t="s">
        <v>410</v>
      </c>
      <c r="D110" s="32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spans="8:8" ht="28.0" customHeight="1">
      <c r="A111" s="28"/>
      <c r="B111" s="29" t="s">
        <v>411</v>
      </c>
      <c r="C111" s="30" t="s">
        <v>412</v>
      </c>
      <c r="D111" s="29">
        <v>20.0</v>
      </c>
      <c r="E111" s="31" t="str">
        <f>IF(COUNTA(E112:E116)=0,"",COUNTIF(E112:E116,"Ya")/5*100)</f>
        <v/>
      </c>
      <c r="F111" s="31" t="str">
        <f>IF(COUNTA(F112:F116)=0,"",COUNTIF(F112:F116,"Ya")/5*100)</f>
        <v/>
      </c>
      <c r="G111" s="31" t="str">
        <f>IF(COUNTA(G112:G116)=0,"",COUNTIF(G112:G116,"Ya")/5*100)</f>
        <v/>
      </c>
      <c r="H111" s="31" t="str">
        <f>IF(COUNTA(H112:H116)=0,"",COUNTIF(H112:H116,"Ya")/5*100)</f>
        <v/>
      </c>
      <c r="I111" s="31" t="str">
        <f>IF(COUNTA(I112:I116)=0,"",COUNTIF(I112:I116,"Ya")/5*100)</f>
        <v/>
      </c>
      <c r="J111" s="31" t="str">
        <f>IF(COUNTA(J112:J116)=0,"",COUNTIF(J112:J116,"Ya")/5*100)</f>
        <v/>
      </c>
      <c r="K111" s="31" t="str">
        <f>IF(COUNTA(K112:K116)=0,"",COUNTIF(K112:K116,"Ya")/5*100)</f>
        <v/>
      </c>
      <c r="L111" s="31" t="str">
        <f>IF(COUNTA(L112:L116)=0,"",COUNTIF(L112:L116,"Ya")/5*100)</f>
        <v/>
      </c>
      <c r="M111" s="31" t="str">
        <f>IF(COUNTA(M112:M116)=0,"",COUNTIF(M112:M116,"Ya")/5*100)</f>
        <v/>
      </c>
      <c r="N111" s="31" t="str">
        <f>IF(COUNTA(N112:N116)=0,"",COUNTIF(N112:N116,"Ya")/5*100)</f>
        <v/>
      </c>
      <c r="O111" s="31" t="str">
        <f>IF(COUNTA(O112:O116)=0,"",COUNTIF(O112:O116,"Ya")/5*100)</f>
        <v/>
      </c>
      <c r="P111" s="31" t="str">
        <f>IF(COUNTA(P112:P116)=0,"",COUNTIF(P112:P116,"Ya")/5*100)</f>
        <v/>
      </c>
      <c r="Q111" s="31" t="str">
        <f>IF(COUNTA(Q112:Q116)=0,"",COUNTIF(Q112:Q116,"Ya")/5*100)</f>
        <v/>
      </c>
      <c r="R111" s="31" t="str">
        <f>IF(COUNTA(R112:R116)=0,"",COUNTIF(R112:R116,"Ya")/5*100)</f>
        <v/>
      </c>
      <c r="S111" s="31" t="str">
        <f>IF(COUNTA(S112:S116)=0,"",COUNTIF(S112:S116,"Ya")/5*100)</f>
        <v/>
      </c>
      <c r="T111" s="31" t="str">
        <f>IF(COUNTA(T112:T116)=0,"",COUNTIF(T112:T116,"Ya")/5*100)</f>
        <v/>
      </c>
      <c r="U111" s="31" t="str">
        <f>IF(COUNTA(U112:U116)=0,"",COUNTIF(U112:U116,"Ya")/5*100)</f>
        <v/>
      </c>
      <c r="V111" s="31" t="str">
        <f>IF(COUNTA(V112:V116)=0,"",COUNTIF(V112:V116,"Ya")/5*100)</f>
        <v/>
      </c>
      <c r="W111" s="31" t="str">
        <f>IF(COUNTA(W112:W116)=0,"",COUNTIF(W112:W116,"Ya")/5*100)</f>
        <v/>
      </c>
      <c r="X111" s="31" t="str">
        <f>IF(COUNTA(X112:X116)=0,"",COUNTIF(X112:X116,"Ya")/5*100)</f>
        <v/>
      </c>
      <c r="Y111" s="31" t="str">
        <f>IF(COUNTA(Y112:Y116)=0,"",COUNTIF(Y112:Y116,"Ya")/5*100)</f>
        <v/>
      </c>
      <c r="Z111" s="31" t="str">
        <f>_xlfn.IFERROR(AVERAGE(E111:Y111),"")</f>
        <v/>
      </c>
    </row>
    <row r="112" spans="8:8" ht="14.0" customHeight="1">
      <c r="A112" s="32"/>
      <c r="B112" s="33" t="s">
        <v>413</v>
      </c>
      <c r="C112" s="34" t="s">
        <v>414</v>
      </c>
      <c r="D112" s="32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spans="8:8" ht="25.0" customHeight="1">
      <c r="A113" s="32"/>
      <c r="B113" s="33" t="s">
        <v>415</v>
      </c>
      <c r="C113" s="34" t="s">
        <v>416</v>
      </c>
      <c r="D113" s="32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spans="8:8" ht="25.0" customHeight="1">
      <c r="A114" s="32"/>
      <c r="B114" s="33" t="s">
        <v>417</v>
      </c>
      <c r="C114" s="34" t="s">
        <v>418</v>
      </c>
      <c r="D114" s="32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spans="8:8" ht="25.0" customHeight="1">
      <c r="A115" s="32"/>
      <c r="B115" s="33" t="s">
        <v>419</v>
      </c>
      <c r="C115" s="34" t="s">
        <v>420</v>
      </c>
      <c r="D115" s="32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spans="8:8" ht="25.0" customHeight="1">
      <c r="A116" s="32"/>
      <c r="B116" s="33" t="s">
        <v>421</v>
      </c>
      <c r="C116" s="34" t="s">
        <v>422</v>
      </c>
      <c r="D116" s="32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spans="8:8" ht="28.0" customHeight="1">
      <c r="A117" s="28"/>
      <c r="B117" s="29" t="s">
        <v>423</v>
      </c>
      <c r="C117" s="30" t="s">
        <v>424</v>
      </c>
      <c r="D117" s="29">
        <v>20.0</v>
      </c>
      <c r="E117" s="31" t="str">
        <f>IF(COUNTA(E118:E122)=0,"",COUNTIF(E118:E122,"Ya")/5*100)</f>
        <v/>
      </c>
      <c r="F117" s="31" t="str">
        <f>IF(COUNTA(F118:F122)=0,"",COUNTIF(F118:F122,"Ya")/5*100)</f>
        <v/>
      </c>
      <c r="G117" s="31" t="str">
        <f>IF(COUNTA(G118:G122)=0,"",COUNTIF(G118:G122,"Ya")/5*100)</f>
        <v/>
      </c>
      <c r="H117" s="31" t="str">
        <f>IF(COUNTA(H118:H122)=0,"",COUNTIF(H118:H122,"Ya")/5*100)</f>
        <v/>
      </c>
      <c r="I117" s="31" t="str">
        <f>IF(COUNTA(I118:I122)=0,"",COUNTIF(I118:I122,"Ya")/5*100)</f>
        <v/>
      </c>
      <c r="J117" s="31" t="str">
        <f>IF(COUNTA(J118:J122)=0,"",COUNTIF(J118:J122,"Ya")/5*100)</f>
        <v/>
      </c>
      <c r="K117" s="31" t="str">
        <f>IF(COUNTA(K118:K122)=0,"",COUNTIF(K118:K122,"Ya")/5*100)</f>
        <v/>
      </c>
      <c r="L117" s="31" t="str">
        <f>IF(COUNTA(L118:L122)=0,"",COUNTIF(L118:L122,"Ya")/5*100)</f>
        <v/>
      </c>
      <c r="M117" s="31" t="str">
        <f>IF(COUNTA(M118:M122)=0,"",COUNTIF(M118:M122,"Ya")/5*100)</f>
        <v/>
      </c>
      <c r="N117" s="31" t="str">
        <f>IF(COUNTA(N118:N122)=0,"",COUNTIF(N118:N122,"Ya")/5*100)</f>
        <v/>
      </c>
      <c r="O117" s="31" t="str">
        <f>IF(COUNTA(O118:O122)=0,"",COUNTIF(O118:O122,"Ya")/5*100)</f>
        <v/>
      </c>
      <c r="P117" s="31" t="str">
        <f>IF(COUNTA(P118:P122)=0,"",COUNTIF(P118:P122,"Ya")/5*100)</f>
        <v/>
      </c>
      <c r="Q117" s="31" t="str">
        <f>IF(COUNTA(Q118:Q122)=0,"",COUNTIF(Q118:Q122,"Ya")/5*100)</f>
        <v/>
      </c>
      <c r="R117" s="31" t="str">
        <f>IF(COUNTA(R118:R122)=0,"",COUNTIF(R118:R122,"Ya")/5*100)</f>
        <v/>
      </c>
      <c r="S117" s="31" t="str">
        <f>IF(COUNTA(S118:S122)=0,"",COUNTIF(S118:S122,"Ya")/5*100)</f>
        <v/>
      </c>
      <c r="T117" s="31" t="str">
        <f>IF(COUNTA(T118:T122)=0,"",COUNTIF(T118:T122,"Ya")/5*100)</f>
        <v/>
      </c>
      <c r="U117" s="31" t="str">
        <f>IF(COUNTA(U118:U122)=0,"",COUNTIF(U118:U122,"Ya")/5*100)</f>
        <v/>
      </c>
      <c r="V117" s="31" t="str">
        <f>IF(COUNTA(V118:V122)=0,"",COUNTIF(V118:V122,"Ya")/5*100)</f>
        <v/>
      </c>
      <c r="W117" s="31" t="str">
        <f>IF(COUNTA(W118:W122)=0,"",COUNTIF(W118:W122,"Ya")/5*100)</f>
        <v/>
      </c>
      <c r="X117" s="31" t="str">
        <f>IF(COUNTA(X118:X122)=0,"",COUNTIF(X118:X122,"Ya")/5*100)</f>
        <v/>
      </c>
      <c r="Y117" s="31" t="str">
        <f>IF(COUNTA(Y118:Y122)=0,"",COUNTIF(Y118:Y122,"Ya")/5*100)</f>
        <v/>
      </c>
      <c r="Z117" s="31" t="str">
        <f>_xlfn.IFERROR(AVERAGE(E117:Y117),"")</f>
        <v/>
      </c>
    </row>
    <row r="118" spans="8:8" ht="25.0" customHeight="1">
      <c r="A118" s="32"/>
      <c r="B118" s="33" t="s">
        <v>425</v>
      </c>
      <c r="C118" s="34" t="s">
        <v>426</v>
      </c>
      <c r="D118" s="32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spans="8:8" ht="25.0" customHeight="1">
      <c r="A119" s="32"/>
      <c r="B119" s="33" t="s">
        <v>427</v>
      </c>
      <c r="C119" s="34" t="s">
        <v>428</v>
      </c>
      <c r="D119" s="32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spans="8:8" ht="25.0" customHeight="1">
      <c r="A120" s="32"/>
      <c r="B120" s="33" t="s">
        <v>429</v>
      </c>
      <c r="C120" s="34" t="s">
        <v>430</v>
      </c>
      <c r="D120" s="32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8:8" ht="25.0" customHeight="1">
      <c r="A121" s="32"/>
      <c r="B121" s="33" t="s">
        <v>431</v>
      </c>
      <c r="C121" s="34" t="s">
        <v>432</v>
      </c>
      <c r="D121" s="32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spans="8:8" ht="25.0" customHeight="1">
      <c r="A122" s="32"/>
      <c r="B122" s="33" t="s">
        <v>433</v>
      </c>
      <c r="C122" s="34" t="s">
        <v>434</v>
      </c>
      <c r="D122" s="32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spans="8:8" ht="28.0" customHeight="1">
      <c r="A123" s="28"/>
      <c r="B123" s="29" t="s">
        <v>435</v>
      </c>
      <c r="C123" s="30" t="s">
        <v>436</v>
      </c>
      <c r="D123" s="29">
        <v>20.0</v>
      </c>
      <c r="E123" s="31" t="str">
        <f>IF(COUNTA(E124:E128)=0,"",COUNTIF(E124:E128,"Ya")/5*100)</f>
        <v/>
      </c>
      <c r="F123" s="31" t="str">
        <f>IF(COUNTA(F124:F128)=0,"",COUNTIF(F124:F128,"Ya")/5*100)</f>
        <v/>
      </c>
      <c r="G123" s="31" t="str">
        <f>IF(COUNTA(G124:G128)=0,"",COUNTIF(G124:G128,"Ya")/5*100)</f>
        <v/>
      </c>
      <c r="H123" s="31" t="str">
        <f>IF(COUNTA(H124:H128)=0,"",COUNTIF(H124:H128,"Ya")/5*100)</f>
        <v/>
      </c>
      <c r="I123" s="31" t="str">
        <f>IF(COUNTA(I124:I128)=0,"",COUNTIF(I124:I128,"Ya")/5*100)</f>
        <v/>
      </c>
      <c r="J123" s="31" t="str">
        <f>IF(COUNTA(J124:J128)=0,"",COUNTIF(J124:J128,"Ya")/5*100)</f>
        <v/>
      </c>
      <c r="K123" s="31" t="str">
        <f>IF(COUNTA(K124:K128)=0,"",COUNTIF(K124:K128,"Ya")/5*100)</f>
        <v/>
      </c>
      <c r="L123" s="31" t="str">
        <f>IF(COUNTA(L124:L128)=0,"",COUNTIF(L124:L128,"Ya")/5*100)</f>
        <v/>
      </c>
      <c r="M123" s="31" t="str">
        <f>IF(COUNTA(M124:M128)=0,"",COUNTIF(M124:M128,"Ya")/5*100)</f>
        <v/>
      </c>
      <c r="N123" s="31" t="str">
        <f>IF(COUNTA(N124:N128)=0,"",COUNTIF(N124:N128,"Ya")/5*100)</f>
        <v/>
      </c>
      <c r="O123" s="31" t="str">
        <f>IF(COUNTA(O124:O128)=0,"",COUNTIF(O124:O128,"Ya")/5*100)</f>
        <v/>
      </c>
      <c r="P123" s="31" t="str">
        <f>IF(COUNTA(P124:P128)=0,"",COUNTIF(P124:P128,"Ya")/5*100)</f>
        <v/>
      </c>
      <c r="Q123" s="31" t="str">
        <f>IF(COUNTA(Q124:Q128)=0,"",COUNTIF(Q124:Q128,"Ya")/5*100)</f>
        <v/>
      </c>
      <c r="R123" s="31" t="str">
        <f>IF(COUNTA(R124:R128)=0,"",COUNTIF(R124:R128,"Ya")/5*100)</f>
        <v/>
      </c>
      <c r="S123" s="31" t="str">
        <f>IF(COUNTA(S124:S128)=0,"",COUNTIF(S124:S128,"Ya")/5*100)</f>
        <v/>
      </c>
      <c r="T123" s="31" t="str">
        <f>IF(COUNTA(T124:T128)=0,"",COUNTIF(T124:T128,"Ya")/5*100)</f>
        <v/>
      </c>
      <c r="U123" s="31" t="str">
        <f>IF(COUNTA(U124:U128)=0,"",COUNTIF(U124:U128,"Ya")/5*100)</f>
        <v/>
      </c>
      <c r="V123" s="31" t="str">
        <f>IF(COUNTA(V124:V128)=0,"",COUNTIF(V124:V128,"Ya")/5*100)</f>
        <v/>
      </c>
      <c r="W123" s="31" t="str">
        <f>IF(COUNTA(W124:W128)=0,"",COUNTIF(W124:W128,"Ya")/5*100)</f>
        <v/>
      </c>
      <c r="X123" s="31" t="str">
        <f>IF(COUNTA(X124:X128)=0,"",COUNTIF(X124:X128,"Ya")/5*100)</f>
        <v/>
      </c>
      <c r="Y123" s="31" t="str">
        <f>IF(COUNTA(Y124:Y128)=0,"",COUNTIF(Y124:Y128,"Ya")/5*100)</f>
        <v/>
      </c>
      <c r="Z123" s="31" t="str">
        <f>_xlfn.IFERROR(AVERAGE(E123:Y123),"")</f>
        <v/>
      </c>
    </row>
    <row r="124" spans="8:8" ht="25.0" customHeight="1">
      <c r="A124" s="32"/>
      <c r="B124" s="33" t="s">
        <v>437</v>
      </c>
      <c r="C124" s="34" t="s">
        <v>438</v>
      </c>
      <c r="D124" s="32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8:8" ht="25.0" customHeight="1">
      <c r="A125" s="32"/>
      <c r="B125" s="33" t="s">
        <v>439</v>
      </c>
      <c r="C125" s="34" t="s">
        <v>440</v>
      </c>
      <c r="D125" s="32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spans="8:8" ht="25.0" customHeight="1">
      <c r="A126" s="32"/>
      <c r="B126" s="33" t="s">
        <v>441</v>
      </c>
      <c r="C126" s="34" t="s">
        <v>442</v>
      </c>
      <c r="D126" s="32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spans="8:8" ht="14.0" customHeight="1">
      <c r="A127" s="32"/>
      <c r="B127" s="33" t="s">
        <v>443</v>
      </c>
      <c r="C127" s="34" t="s">
        <v>444</v>
      </c>
      <c r="D127" s="32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spans="8:8" ht="25.0" customHeight="1">
      <c r="A128" s="32"/>
      <c r="B128" s="33" t="s">
        <v>445</v>
      </c>
      <c r="C128" s="34" t="s">
        <v>446</v>
      </c>
      <c r="D128" s="32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spans="8:8" ht="28.0" customHeight="1">
      <c r="A129" s="28"/>
      <c r="B129" s="29" t="s">
        <v>447</v>
      </c>
      <c r="C129" s="30" t="s">
        <v>448</v>
      </c>
      <c r="D129" s="29">
        <v>20.0</v>
      </c>
      <c r="E129" s="31" t="str">
        <f>IF(COUNTA(E130:E134)=0,"",COUNTIF(E130:E134,"Ya")/5*100)</f>
        <v/>
      </c>
      <c r="F129" s="31" t="str">
        <f>IF(COUNTA(F130:F134)=0,"",COUNTIF(F130:F134,"Ya")/5*100)</f>
        <v/>
      </c>
      <c r="G129" s="31" t="str">
        <f>IF(COUNTA(G130:G134)=0,"",COUNTIF(G130:G134,"Ya")/5*100)</f>
        <v/>
      </c>
      <c r="H129" s="31" t="str">
        <f>IF(COUNTA(H130:H134)=0,"",COUNTIF(H130:H134,"Ya")/5*100)</f>
        <v/>
      </c>
      <c r="I129" s="31" t="str">
        <f>IF(COUNTA(I130:I134)=0,"",COUNTIF(I130:I134,"Ya")/5*100)</f>
        <v/>
      </c>
      <c r="J129" s="31" t="str">
        <f>IF(COUNTA(J130:J134)=0,"",COUNTIF(J130:J134,"Ya")/5*100)</f>
        <v/>
      </c>
      <c r="K129" s="31" t="str">
        <f>IF(COUNTA(K130:K134)=0,"",COUNTIF(K130:K134,"Ya")/5*100)</f>
        <v/>
      </c>
      <c r="L129" s="31" t="str">
        <f>IF(COUNTA(L130:L134)=0,"",COUNTIF(L130:L134,"Ya")/5*100)</f>
        <v/>
      </c>
      <c r="M129" s="31" t="str">
        <f>IF(COUNTA(M130:M134)=0,"",COUNTIF(M130:M134,"Ya")/5*100)</f>
        <v/>
      </c>
      <c r="N129" s="31" t="str">
        <f>IF(COUNTA(N130:N134)=0,"",COUNTIF(N130:N134,"Ya")/5*100)</f>
        <v/>
      </c>
      <c r="O129" s="31" t="str">
        <f>IF(COUNTA(O130:O134)=0,"",COUNTIF(O130:O134,"Ya")/5*100)</f>
        <v/>
      </c>
      <c r="P129" s="31" t="str">
        <f>IF(COUNTA(P130:P134)=0,"",COUNTIF(P130:P134,"Ya")/5*100)</f>
        <v/>
      </c>
      <c r="Q129" s="31" t="str">
        <f>IF(COUNTA(Q130:Q134)=0,"",COUNTIF(Q130:Q134,"Ya")/5*100)</f>
        <v/>
      </c>
      <c r="R129" s="31" t="str">
        <f>IF(COUNTA(R130:R134)=0,"",COUNTIF(R130:R134,"Ya")/5*100)</f>
        <v/>
      </c>
      <c r="S129" s="31" t="str">
        <f>IF(COUNTA(S130:S134)=0,"",COUNTIF(S130:S134,"Ya")/5*100)</f>
        <v/>
      </c>
      <c r="T129" s="31" t="str">
        <f>IF(COUNTA(T130:T134)=0,"",COUNTIF(T130:T134,"Ya")/5*100)</f>
        <v/>
      </c>
      <c r="U129" s="31" t="str">
        <f>IF(COUNTA(U130:U134)=0,"",COUNTIF(U130:U134,"Ya")/5*100)</f>
        <v/>
      </c>
      <c r="V129" s="31" t="str">
        <f>IF(COUNTA(V130:V134)=0,"",COUNTIF(V130:V134,"Ya")/5*100)</f>
        <v/>
      </c>
      <c r="W129" s="31" t="str">
        <f>IF(COUNTA(W130:W134)=0,"",COUNTIF(W130:W134,"Ya")/5*100)</f>
        <v/>
      </c>
      <c r="X129" s="31" t="str">
        <f>IF(COUNTA(X130:X134)=0,"",COUNTIF(X130:X134,"Ya")/5*100)</f>
        <v/>
      </c>
      <c r="Y129" s="31" t="str">
        <f>IF(COUNTA(Y130:Y134)=0,"",COUNTIF(Y130:Y134,"Ya")/5*100)</f>
        <v/>
      </c>
      <c r="Z129" s="31" t="str">
        <f>_xlfn.IFERROR(AVERAGE(E129:Y129),"")</f>
        <v/>
      </c>
    </row>
    <row r="130" spans="8:8" ht="25.0" customHeight="1">
      <c r="A130" s="32"/>
      <c r="B130" s="33" t="s">
        <v>449</v>
      </c>
      <c r="C130" s="34" t="s">
        <v>450</v>
      </c>
      <c r="D130" s="32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spans="8:8" ht="25.0" customHeight="1">
      <c r="A131" s="32"/>
      <c r="B131" s="33" t="s">
        <v>451</v>
      </c>
      <c r="C131" s="34" t="s">
        <v>452</v>
      </c>
      <c r="D131" s="32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spans="8:8" ht="14.0" customHeight="1">
      <c r="A132" s="32"/>
      <c r="B132" s="33" t="s">
        <v>1342</v>
      </c>
      <c r="C132" s="34" t="s">
        <v>1343</v>
      </c>
      <c r="D132" s="32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spans="8:8" ht="25.0" customHeight="1">
      <c r="A133" s="32"/>
      <c r="B133" s="33" t="s">
        <v>1344</v>
      </c>
      <c r="C133" s="34" t="s">
        <v>1345</v>
      </c>
      <c r="D133" s="32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spans="8:8" ht="25.0" customHeight="1">
      <c r="A134" s="32"/>
      <c r="B134" s="33" t="s">
        <v>1346</v>
      </c>
      <c r="C134" s="34" t="s">
        <v>1347</v>
      </c>
      <c r="D134" s="32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spans="8:8" ht="18.0" customHeight="1">
      <c r="A135" s="36"/>
      <c r="B135" s="36"/>
      <c r="C135" s="37" t="s">
        <v>1348</v>
      </c>
      <c r="D135" s="38">
        <v>100.0</v>
      </c>
      <c r="E135" s="39" t="str">
        <f>IF((IF(ISNUMBER(E105),20,0)+IF(ISNUMBER(E111),20,0)+IF(ISNUMBER(E117),20,0)+IF(ISNUMBER(E123),20,0)+IF(ISNUMBER(E129),20,0))=0,"",(IF(ISNUMBER(E105),E105*20,0)+IF(ISNUMBER(E111),E111*20,0)+IF(ISNUMBER(E117),E117*20,0)+IF(ISNUMBER(E123),E123*20,0)+IF(ISNUMBER(E129),E129*20,0))/(IF(ISNUMBER(E105),20,0)+IF(ISNUMBER(E111),20,0)+IF(ISNUMBER(E117),20,0)+IF(ISNUMBER(E123),20,0)+IF(ISNUMBER(E129),20,0)))</f>
        <v/>
      </c>
      <c r="F135" s="39" t="str">
        <f>IF((IF(ISNUMBER(F105),20,0)+IF(ISNUMBER(F111),20,0)+IF(ISNUMBER(F117),20,0)+IF(ISNUMBER(F123),20,0)+IF(ISNUMBER(F129),20,0))=0,"",(IF(ISNUMBER(F105),F105*20,0)+IF(ISNUMBER(F111),F111*20,0)+IF(ISNUMBER(F117),F117*20,0)+IF(ISNUMBER(F123),F123*20,0)+IF(ISNUMBER(F129),F129*20,0))/(IF(ISNUMBER(F105),20,0)+IF(ISNUMBER(F111),20,0)+IF(ISNUMBER(F117),20,0)+IF(ISNUMBER(F123),20,0)+IF(ISNUMBER(F129),20,0)))</f>
        <v/>
      </c>
      <c r="G135" s="39" t="str">
        <f>IF((IF(ISNUMBER(G105),20,0)+IF(ISNUMBER(G111),20,0)+IF(ISNUMBER(G117),20,0)+IF(ISNUMBER(G123),20,0)+IF(ISNUMBER(G129),20,0))=0,"",(IF(ISNUMBER(G105),G105*20,0)+IF(ISNUMBER(G111),G111*20,0)+IF(ISNUMBER(G117),G117*20,0)+IF(ISNUMBER(G123),G123*20,0)+IF(ISNUMBER(G129),G129*20,0))/(IF(ISNUMBER(G105),20,0)+IF(ISNUMBER(G111),20,0)+IF(ISNUMBER(G117),20,0)+IF(ISNUMBER(G123),20,0)+IF(ISNUMBER(G129),20,0)))</f>
        <v/>
      </c>
      <c r="H135" s="39" t="str">
        <f>IF((IF(ISNUMBER(H105),20,0)+IF(ISNUMBER(H111),20,0)+IF(ISNUMBER(H117),20,0)+IF(ISNUMBER(H123),20,0)+IF(ISNUMBER(H129),20,0))=0,"",(IF(ISNUMBER(H105),H105*20,0)+IF(ISNUMBER(H111),H111*20,0)+IF(ISNUMBER(H117),H117*20,0)+IF(ISNUMBER(H123),H123*20,0)+IF(ISNUMBER(H129),H129*20,0))/(IF(ISNUMBER(H105),20,0)+IF(ISNUMBER(H111),20,0)+IF(ISNUMBER(H117),20,0)+IF(ISNUMBER(H123),20,0)+IF(ISNUMBER(H129),20,0)))</f>
        <v/>
      </c>
      <c r="I135" s="39" t="str">
        <f>IF((IF(ISNUMBER(I105),20,0)+IF(ISNUMBER(I111),20,0)+IF(ISNUMBER(I117),20,0)+IF(ISNUMBER(I123),20,0)+IF(ISNUMBER(I129),20,0))=0,"",(IF(ISNUMBER(I105),I105*20,0)+IF(ISNUMBER(I111),I111*20,0)+IF(ISNUMBER(I117),I117*20,0)+IF(ISNUMBER(I123),I123*20,0)+IF(ISNUMBER(I129),I129*20,0))/(IF(ISNUMBER(I105),20,0)+IF(ISNUMBER(I111),20,0)+IF(ISNUMBER(I117),20,0)+IF(ISNUMBER(I123),20,0)+IF(ISNUMBER(I129),20,0)))</f>
        <v/>
      </c>
      <c r="J135" s="39" t="str">
        <f>IF((IF(ISNUMBER(J105),20,0)+IF(ISNUMBER(J111),20,0)+IF(ISNUMBER(J117),20,0)+IF(ISNUMBER(J123),20,0)+IF(ISNUMBER(J129),20,0))=0,"",(IF(ISNUMBER(J105),J105*20,0)+IF(ISNUMBER(J111),J111*20,0)+IF(ISNUMBER(J117),J117*20,0)+IF(ISNUMBER(J123),J123*20,0)+IF(ISNUMBER(J129),J129*20,0))/(IF(ISNUMBER(J105),20,0)+IF(ISNUMBER(J111),20,0)+IF(ISNUMBER(J117),20,0)+IF(ISNUMBER(J123),20,0)+IF(ISNUMBER(J129),20,0)))</f>
        <v/>
      </c>
      <c r="K135" s="39" t="str">
        <f>IF((IF(ISNUMBER(K105),20,0)+IF(ISNUMBER(K111),20,0)+IF(ISNUMBER(K117),20,0)+IF(ISNUMBER(K123),20,0)+IF(ISNUMBER(K129),20,0))=0,"",(IF(ISNUMBER(K105),K105*20,0)+IF(ISNUMBER(K111),K111*20,0)+IF(ISNUMBER(K117),K117*20,0)+IF(ISNUMBER(K123),K123*20,0)+IF(ISNUMBER(K129),K129*20,0))/(IF(ISNUMBER(K105),20,0)+IF(ISNUMBER(K111),20,0)+IF(ISNUMBER(K117),20,0)+IF(ISNUMBER(K123),20,0)+IF(ISNUMBER(K129),20,0)))</f>
        <v/>
      </c>
      <c r="L135" s="39" t="str">
        <f>IF((IF(ISNUMBER(L105),20,0)+IF(ISNUMBER(L111),20,0)+IF(ISNUMBER(L117),20,0)+IF(ISNUMBER(L123),20,0)+IF(ISNUMBER(L129),20,0))=0,"",(IF(ISNUMBER(L105),L105*20,0)+IF(ISNUMBER(L111),L111*20,0)+IF(ISNUMBER(L117),L117*20,0)+IF(ISNUMBER(L123),L123*20,0)+IF(ISNUMBER(L129),L129*20,0))/(IF(ISNUMBER(L105),20,0)+IF(ISNUMBER(L111),20,0)+IF(ISNUMBER(L117),20,0)+IF(ISNUMBER(L123),20,0)+IF(ISNUMBER(L129),20,0)))</f>
        <v/>
      </c>
      <c r="M135" s="39" t="str">
        <f>IF((IF(ISNUMBER(M105),20,0)+IF(ISNUMBER(M111),20,0)+IF(ISNUMBER(M117),20,0)+IF(ISNUMBER(M123),20,0)+IF(ISNUMBER(M129),20,0))=0,"",(IF(ISNUMBER(M105),M105*20,0)+IF(ISNUMBER(M111),M111*20,0)+IF(ISNUMBER(M117),M117*20,0)+IF(ISNUMBER(M123),M123*20,0)+IF(ISNUMBER(M129),M129*20,0))/(IF(ISNUMBER(M105),20,0)+IF(ISNUMBER(M111),20,0)+IF(ISNUMBER(M117),20,0)+IF(ISNUMBER(M123),20,0)+IF(ISNUMBER(M129),20,0)))</f>
        <v/>
      </c>
      <c r="N135" s="39" t="str">
        <f>IF((IF(ISNUMBER(N105),20,0)+IF(ISNUMBER(N111),20,0)+IF(ISNUMBER(N117),20,0)+IF(ISNUMBER(N123),20,0)+IF(ISNUMBER(N129),20,0))=0,"",(IF(ISNUMBER(N105),N105*20,0)+IF(ISNUMBER(N111),N111*20,0)+IF(ISNUMBER(N117),N117*20,0)+IF(ISNUMBER(N123),N123*20,0)+IF(ISNUMBER(N129),N129*20,0))/(IF(ISNUMBER(N105),20,0)+IF(ISNUMBER(N111),20,0)+IF(ISNUMBER(N117),20,0)+IF(ISNUMBER(N123),20,0)+IF(ISNUMBER(N129),20,0)))</f>
        <v/>
      </c>
      <c r="O135" s="39" t="str">
        <f>IF((IF(ISNUMBER(O105),20,0)+IF(ISNUMBER(O111),20,0)+IF(ISNUMBER(O117),20,0)+IF(ISNUMBER(O123),20,0)+IF(ISNUMBER(O129),20,0))=0,"",(IF(ISNUMBER(O105),O105*20,0)+IF(ISNUMBER(O111),O111*20,0)+IF(ISNUMBER(O117),O117*20,0)+IF(ISNUMBER(O123),O123*20,0)+IF(ISNUMBER(O129),O129*20,0))/(IF(ISNUMBER(O105),20,0)+IF(ISNUMBER(O111),20,0)+IF(ISNUMBER(O117),20,0)+IF(ISNUMBER(O123),20,0)+IF(ISNUMBER(O129),20,0)))</f>
        <v/>
      </c>
      <c r="P135" s="39" t="str">
        <f>IF((IF(ISNUMBER(P105),20,0)+IF(ISNUMBER(P111),20,0)+IF(ISNUMBER(P117),20,0)+IF(ISNUMBER(P123),20,0)+IF(ISNUMBER(P129),20,0))=0,"",(IF(ISNUMBER(P105),P105*20,0)+IF(ISNUMBER(P111),P111*20,0)+IF(ISNUMBER(P117),P117*20,0)+IF(ISNUMBER(P123),P123*20,0)+IF(ISNUMBER(P129),P129*20,0))/(IF(ISNUMBER(P105),20,0)+IF(ISNUMBER(P111),20,0)+IF(ISNUMBER(P117),20,0)+IF(ISNUMBER(P123),20,0)+IF(ISNUMBER(P129),20,0)))</f>
        <v/>
      </c>
      <c r="Q135" s="39" t="str">
        <f>IF((IF(ISNUMBER(Q105),20,0)+IF(ISNUMBER(Q111),20,0)+IF(ISNUMBER(Q117),20,0)+IF(ISNUMBER(Q123),20,0)+IF(ISNUMBER(Q129),20,0))=0,"",(IF(ISNUMBER(Q105),Q105*20,0)+IF(ISNUMBER(Q111),Q111*20,0)+IF(ISNUMBER(Q117),Q117*20,0)+IF(ISNUMBER(Q123),Q123*20,0)+IF(ISNUMBER(Q129),Q129*20,0))/(IF(ISNUMBER(Q105),20,0)+IF(ISNUMBER(Q111),20,0)+IF(ISNUMBER(Q117),20,0)+IF(ISNUMBER(Q123),20,0)+IF(ISNUMBER(Q129),20,0)))</f>
        <v/>
      </c>
      <c r="R135" s="39" t="str">
        <f>IF((IF(ISNUMBER(R105),20,0)+IF(ISNUMBER(R111),20,0)+IF(ISNUMBER(R117),20,0)+IF(ISNUMBER(R123),20,0)+IF(ISNUMBER(R129),20,0))=0,"",(IF(ISNUMBER(R105),R105*20,0)+IF(ISNUMBER(R111),R111*20,0)+IF(ISNUMBER(R117),R117*20,0)+IF(ISNUMBER(R123),R123*20,0)+IF(ISNUMBER(R129),R129*20,0))/(IF(ISNUMBER(R105),20,0)+IF(ISNUMBER(R111),20,0)+IF(ISNUMBER(R117),20,0)+IF(ISNUMBER(R123),20,0)+IF(ISNUMBER(R129),20,0)))</f>
        <v/>
      </c>
      <c r="S135" s="39" t="str">
        <f>IF((IF(ISNUMBER(S105),20,0)+IF(ISNUMBER(S111),20,0)+IF(ISNUMBER(S117),20,0)+IF(ISNUMBER(S123),20,0)+IF(ISNUMBER(S129),20,0))=0,"",(IF(ISNUMBER(S105),S105*20,0)+IF(ISNUMBER(S111),S111*20,0)+IF(ISNUMBER(S117),S117*20,0)+IF(ISNUMBER(S123),S123*20,0)+IF(ISNUMBER(S129),S129*20,0))/(IF(ISNUMBER(S105),20,0)+IF(ISNUMBER(S111),20,0)+IF(ISNUMBER(S117),20,0)+IF(ISNUMBER(S123),20,0)+IF(ISNUMBER(S129),20,0)))</f>
        <v/>
      </c>
      <c r="T135" s="39" t="str">
        <f>IF((IF(ISNUMBER(T105),20,0)+IF(ISNUMBER(T111),20,0)+IF(ISNUMBER(T117),20,0)+IF(ISNUMBER(T123),20,0)+IF(ISNUMBER(T129),20,0))=0,"",(IF(ISNUMBER(T105),T105*20,0)+IF(ISNUMBER(T111),T111*20,0)+IF(ISNUMBER(T117),T117*20,0)+IF(ISNUMBER(T123),T123*20,0)+IF(ISNUMBER(T129),T129*20,0))/(IF(ISNUMBER(T105),20,0)+IF(ISNUMBER(T111),20,0)+IF(ISNUMBER(T117),20,0)+IF(ISNUMBER(T123),20,0)+IF(ISNUMBER(T129),20,0)))</f>
        <v/>
      </c>
      <c r="U135" s="39" t="str">
        <f>IF((IF(ISNUMBER(U105),20,0)+IF(ISNUMBER(U111),20,0)+IF(ISNUMBER(U117),20,0)+IF(ISNUMBER(U123),20,0)+IF(ISNUMBER(U129),20,0))=0,"",(IF(ISNUMBER(U105),U105*20,0)+IF(ISNUMBER(U111),U111*20,0)+IF(ISNUMBER(U117),U117*20,0)+IF(ISNUMBER(U123),U123*20,0)+IF(ISNUMBER(U129),U129*20,0))/(IF(ISNUMBER(U105),20,0)+IF(ISNUMBER(U111),20,0)+IF(ISNUMBER(U117),20,0)+IF(ISNUMBER(U123),20,0)+IF(ISNUMBER(U129),20,0)))</f>
        <v/>
      </c>
      <c r="V135" s="39" t="str">
        <f>IF((IF(ISNUMBER(V105),20,0)+IF(ISNUMBER(V111),20,0)+IF(ISNUMBER(V117),20,0)+IF(ISNUMBER(V123),20,0)+IF(ISNUMBER(V129),20,0))=0,"",(IF(ISNUMBER(V105),V105*20,0)+IF(ISNUMBER(V111),V111*20,0)+IF(ISNUMBER(V117),V117*20,0)+IF(ISNUMBER(V123),V123*20,0)+IF(ISNUMBER(V129),V129*20,0))/(IF(ISNUMBER(V105),20,0)+IF(ISNUMBER(V111),20,0)+IF(ISNUMBER(V117),20,0)+IF(ISNUMBER(V123),20,0)+IF(ISNUMBER(V129),20,0)))</f>
        <v/>
      </c>
      <c r="W135" s="39" t="str">
        <f>IF((IF(ISNUMBER(W105),20,0)+IF(ISNUMBER(W111),20,0)+IF(ISNUMBER(W117),20,0)+IF(ISNUMBER(W123),20,0)+IF(ISNUMBER(W129),20,0))=0,"",(IF(ISNUMBER(W105),W105*20,0)+IF(ISNUMBER(W111),W111*20,0)+IF(ISNUMBER(W117),W117*20,0)+IF(ISNUMBER(W123),W123*20,0)+IF(ISNUMBER(W129),W129*20,0))/(IF(ISNUMBER(W105),20,0)+IF(ISNUMBER(W111),20,0)+IF(ISNUMBER(W117),20,0)+IF(ISNUMBER(W123),20,0)+IF(ISNUMBER(W129),20,0)))</f>
        <v/>
      </c>
      <c r="X135" s="39" t="str">
        <f>IF((IF(ISNUMBER(X105),20,0)+IF(ISNUMBER(X111),20,0)+IF(ISNUMBER(X117),20,0)+IF(ISNUMBER(X123),20,0)+IF(ISNUMBER(X129),20,0))=0,"",(IF(ISNUMBER(X105),X105*20,0)+IF(ISNUMBER(X111),X111*20,0)+IF(ISNUMBER(X117),X117*20,0)+IF(ISNUMBER(X123),X123*20,0)+IF(ISNUMBER(X129),X129*20,0))/(IF(ISNUMBER(X105),20,0)+IF(ISNUMBER(X111),20,0)+IF(ISNUMBER(X117),20,0)+IF(ISNUMBER(X123),20,0)+IF(ISNUMBER(X129),20,0)))</f>
        <v/>
      </c>
      <c r="Y135" s="39" t="str">
        <f>IF((IF(ISNUMBER(Y105),20,0)+IF(ISNUMBER(Y111),20,0)+IF(ISNUMBER(Y117),20,0)+IF(ISNUMBER(Y123),20,0)+IF(ISNUMBER(Y129),20,0))=0,"",(IF(ISNUMBER(Y105),Y105*20,0)+IF(ISNUMBER(Y111),Y111*20,0)+IF(ISNUMBER(Y117),Y117*20,0)+IF(ISNUMBER(Y123),Y123*20,0)+IF(ISNUMBER(Y129),Y129*20,0))/(IF(ISNUMBER(Y105),20,0)+IF(ISNUMBER(Y111),20,0)+IF(ISNUMBER(Y117),20,0)+IF(ISNUMBER(Y123),20,0)+IF(ISNUMBER(Y129),20,0)))</f>
        <v/>
      </c>
      <c r="Z135" s="39" t="str">
        <f>_xlfn.IFERROR(AVERAGE(E135:Y135),"")</f>
        <v/>
      </c>
    </row>
    <row r="136" spans="8:8" ht="22.0" customHeight="1">
      <c r="A136" s="40" t="s">
        <v>1349</v>
      </c>
      <c r="E136" s="41" t="str">
        <f>IF((IF(ISNUMBER(E5),6.7,0)+IF(ISNUMBER(E11),6.7,0)+IF(ISNUMBER(E17),6.6,0)+IF(ISNUMBER(E25),6.7,0)+IF(ISNUMBER(E31),6.7,0)+IF(ISNUMBER(E37),6.6,0)+IF(ISNUMBER(E45),6.7,0)+IF(ISNUMBER(E51),6.7,0)+IF(ISNUMBER(E57),6.6,0)+IF(ISNUMBER(E65),5,0)+IF(ISNUMBER(E71),5,0)+IF(ISNUMBER(E77),5,0)+IF(ISNUMBER(E83),5,0)+IF(ISNUMBER(E91),10,0)+IF(ISNUMBER(E97),10,0)+IF(ISNUMBER(E105),20,0)+IF(ISNUMBER(E111),20,0)+IF(ISNUMBER(E117),20,0)+IF(ISNUMBER(E123),20,0)+IF(ISNUMBER(E129),20,0))=0,"",(IF(ISNUMBER(E5),E5*6.7,0)+IF(ISNUMBER(E11),E11*6.7,0)+IF(ISNUMBER(E17),E17*6.6,0)+IF(ISNUMBER(E25),E25*6.7,0)+IF(ISNUMBER(E31),E31*6.7,0)+IF(ISNUMBER(E37),E37*6.6,0)+IF(ISNUMBER(E45),E45*6.7,0)+IF(ISNUMBER(E51),E51*6.7,0)+IF(ISNUMBER(E57),E57*6.6,0)+IF(ISNUMBER(E65),E65*5,0)+IF(ISNUMBER(E71),E71*5,0)+IF(ISNUMBER(E77),E77*5,0)+IF(ISNUMBER(E83),E83*5,0)+IF(ISNUMBER(E91),E91*10,0)+IF(ISNUMBER(E97),E97*10,0)+IF(ISNUMBER(E105),E105*20,0)+IF(ISNUMBER(E111),E111*20,0)+IF(ISNUMBER(E117),E117*20,0)+IF(ISNUMBER(E123),E123*20,0)+IF(ISNUMBER(E129),E129*20,0))/(IF(ISNUMBER(E5),6.7,0)+IF(ISNUMBER(E11),6.7,0)+IF(ISNUMBER(E17),6.6,0)+IF(ISNUMBER(E25),6.7,0)+IF(ISNUMBER(E31),6.7,0)+IF(ISNUMBER(E37),6.6,0)+IF(ISNUMBER(E45),6.7,0)+IF(ISNUMBER(E51),6.7,0)+IF(ISNUMBER(E57),6.6,0)+IF(ISNUMBER(E65),5,0)+IF(ISNUMBER(E71),5,0)+IF(ISNUMBER(E77),5,0)+IF(ISNUMBER(E83),5,0)+IF(ISNUMBER(E91),10,0)+IF(ISNUMBER(E97),10,0)+IF(ISNUMBER(E105),20,0)+IF(ISNUMBER(E111),20,0)+IF(ISNUMBER(E117),20,0)+IF(ISNUMBER(E123),20,0)+IF(ISNUMBER(E129),20,0)))</f>
        <v/>
      </c>
      <c r="F136" s="41" t="str">
        <f>IF((IF(ISNUMBER(F5),6.7,0)+IF(ISNUMBER(F11),6.7,0)+IF(ISNUMBER(F17),6.6,0)+IF(ISNUMBER(F25),6.7,0)+IF(ISNUMBER(F31),6.7,0)+IF(ISNUMBER(F37),6.6,0)+IF(ISNUMBER(F45),6.7,0)+IF(ISNUMBER(F51),6.7,0)+IF(ISNUMBER(F57),6.6,0)+IF(ISNUMBER(F65),5,0)+IF(ISNUMBER(F71),5,0)+IF(ISNUMBER(F77),5,0)+IF(ISNUMBER(F83),5,0)+IF(ISNUMBER(F91),10,0)+IF(ISNUMBER(F97),10,0)+IF(ISNUMBER(F105),20,0)+IF(ISNUMBER(F111),20,0)+IF(ISNUMBER(F117),20,0)+IF(ISNUMBER(F123),20,0)+IF(ISNUMBER(F129),20,0))=0,"",(IF(ISNUMBER(F5),F5*6.7,0)+IF(ISNUMBER(F11),F11*6.7,0)+IF(ISNUMBER(F17),F17*6.6,0)+IF(ISNUMBER(F25),F25*6.7,0)+IF(ISNUMBER(F31),F31*6.7,0)+IF(ISNUMBER(F37),F37*6.6,0)+IF(ISNUMBER(F45),F45*6.7,0)+IF(ISNUMBER(F51),F51*6.7,0)+IF(ISNUMBER(F57),F57*6.6,0)+IF(ISNUMBER(F65),F65*5,0)+IF(ISNUMBER(F71),F71*5,0)+IF(ISNUMBER(F77),F77*5,0)+IF(ISNUMBER(F83),F83*5,0)+IF(ISNUMBER(F91),F91*10,0)+IF(ISNUMBER(F97),F97*10,0)+IF(ISNUMBER(F105),F105*20,0)+IF(ISNUMBER(F111),F111*20,0)+IF(ISNUMBER(F117),F117*20,0)+IF(ISNUMBER(F123),F123*20,0)+IF(ISNUMBER(F129),F129*20,0))/(IF(ISNUMBER(F5),6.7,0)+IF(ISNUMBER(F11),6.7,0)+IF(ISNUMBER(F17),6.6,0)+IF(ISNUMBER(F25),6.7,0)+IF(ISNUMBER(F31),6.7,0)+IF(ISNUMBER(F37),6.6,0)+IF(ISNUMBER(F45),6.7,0)+IF(ISNUMBER(F51),6.7,0)+IF(ISNUMBER(F57),6.6,0)+IF(ISNUMBER(F65),5,0)+IF(ISNUMBER(F71),5,0)+IF(ISNUMBER(F77),5,0)+IF(ISNUMBER(F83),5,0)+IF(ISNUMBER(F91),10,0)+IF(ISNUMBER(F97),10,0)+IF(ISNUMBER(F105),20,0)+IF(ISNUMBER(F111),20,0)+IF(ISNUMBER(F117),20,0)+IF(ISNUMBER(F123),20,0)+IF(ISNUMBER(F129),20,0)))</f>
        <v/>
      </c>
      <c r="G136" s="41" t="str">
        <f>IF((IF(ISNUMBER(G5),6.7,0)+IF(ISNUMBER(G11),6.7,0)+IF(ISNUMBER(G17),6.6,0)+IF(ISNUMBER(G25),6.7,0)+IF(ISNUMBER(G31),6.7,0)+IF(ISNUMBER(G37),6.6,0)+IF(ISNUMBER(G45),6.7,0)+IF(ISNUMBER(G51),6.7,0)+IF(ISNUMBER(G57),6.6,0)+IF(ISNUMBER(G65),5,0)+IF(ISNUMBER(G71),5,0)+IF(ISNUMBER(G77),5,0)+IF(ISNUMBER(G83),5,0)+IF(ISNUMBER(G91),10,0)+IF(ISNUMBER(G97),10,0)+IF(ISNUMBER(G105),20,0)+IF(ISNUMBER(G111),20,0)+IF(ISNUMBER(G117),20,0)+IF(ISNUMBER(G123),20,0)+IF(ISNUMBER(G129),20,0))=0,"",(IF(ISNUMBER(G5),G5*6.7,0)+IF(ISNUMBER(G11),G11*6.7,0)+IF(ISNUMBER(G17),G17*6.6,0)+IF(ISNUMBER(G25),G25*6.7,0)+IF(ISNUMBER(G31),G31*6.7,0)+IF(ISNUMBER(G37),G37*6.6,0)+IF(ISNUMBER(G45),G45*6.7,0)+IF(ISNUMBER(G51),G51*6.7,0)+IF(ISNUMBER(G57),G57*6.6,0)+IF(ISNUMBER(G65),G65*5,0)+IF(ISNUMBER(G71),G71*5,0)+IF(ISNUMBER(G77),G77*5,0)+IF(ISNUMBER(G83),G83*5,0)+IF(ISNUMBER(G91),G91*10,0)+IF(ISNUMBER(G97),G97*10,0)+IF(ISNUMBER(G105),G105*20,0)+IF(ISNUMBER(G111),G111*20,0)+IF(ISNUMBER(G117),G117*20,0)+IF(ISNUMBER(G123),G123*20,0)+IF(ISNUMBER(G129),G129*20,0))/(IF(ISNUMBER(G5),6.7,0)+IF(ISNUMBER(G11),6.7,0)+IF(ISNUMBER(G17),6.6,0)+IF(ISNUMBER(G25),6.7,0)+IF(ISNUMBER(G31),6.7,0)+IF(ISNUMBER(G37),6.6,0)+IF(ISNUMBER(G45),6.7,0)+IF(ISNUMBER(G51),6.7,0)+IF(ISNUMBER(G57),6.6,0)+IF(ISNUMBER(G65),5,0)+IF(ISNUMBER(G71),5,0)+IF(ISNUMBER(G77),5,0)+IF(ISNUMBER(G83),5,0)+IF(ISNUMBER(G91),10,0)+IF(ISNUMBER(G97),10,0)+IF(ISNUMBER(G105),20,0)+IF(ISNUMBER(G111),20,0)+IF(ISNUMBER(G117),20,0)+IF(ISNUMBER(G123),20,0)+IF(ISNUMBER(G129),20,0)))</f>
        <v/>
      </c>
      <c r="H136" s="41" t="str">
        <f>IF((IF(ISNUMBER(H5),6.7,0)+IF(ISNUMBER(H11),6.7,0)+IF(ISNUMBER(H17),6.6,0)+IF(ISNUMBER(H25),6.7,0)+IF(ISNUMBER(H31),6.7,0)+IF(ISNUMBER(H37),6.6,0)+IF(ISNUMBER(H45),6.7,0)+IF(ISNUMBER(H51),6.7,0)+IF(ISNUMBER(H57),6.6,0)+IF(ISNUMBER(H65),5,0)+IF(ISNUMBER(H71),5,0)+IF(ISNUMBER(H77),5,0)+IF(ISNUMBER(H83),5,0)+IF(ISNUMBER(H91),10,0)+IF(ISNUMBER(H97),10,0)+IF(ISNUMBER(H105),20,0)+IF(ISNUMBER(H111),20,0)+IF(ISNUMBER(H117),20,0)+IF(ISNUMBER(H123),20,0)+IF(ISNUMBER(H129),20,0))=0,"",(IF(ISNUMBER(H5),H5*6.7,0)+IF(ISNUMBER(H11),H11*6.7,0)+IF(ISNUMBER(H17),H17*6.6,0)+IF(ISNUMBER(H25),H25*6.7,0)+IF(ISNUMBER(H31),H31*6.7,0)+IF(ISNUMBER(H37),H37*6.6,0)+IF(ISNUMBER(H45),H45*6.7,0)+IF(ISNUMBER(H51),H51*6.7,0)+IF(ISNUMBER(H57),H57*6.6,0)+IF(ISNUMBER(H65),H65*5,0)+IF(ISNUMBER(H71),H71*5,0)+IF(ISNUMBER(H77),H77*5,0)+IF(ISNUMBER(H83),H83*5,0)+IF(ISNUMBER(H91),H91*10,0)+IF(ISNUMBER(H97),H97*10,0)+IF(ISNUMBER(H105),H105*20,0)+IF(ISNUMBER(H111),H111*20,0)+IF(ISNUMBER(H117),H117*20,0)+IF(ISNUMBER(H123),H123*20,0)+IF(ISNUMBER(H129),H129*20,0))/(IF(ISNUMBER(H5),6.7,0)+IF(ISNUMBER(H11),6.7,0)+IF(ISNUMBER(H17),6.6,0)+IF(ISNUMBER(H25),6.7,0)+IF(ISNUMBER(H31),6.7,0)+IF(ISNUMBER(H37),6.6,0)+IF(ISNUMBER(H45),6.7,0)+IF(ISNUMBER(H51),6.7,0)+IF(ISNUMBER(H57),6.6,0)+IF(ISNUMBER(H65),5,0)+IF(ISNUMBER(H71),5,0)+IF(ISNUMBER(H77),5,0)+IF(ISNUMBER(H83),5,0)+IF(ISNUMBER(H91),10,0)+IF(ISNUMBER(H97),10,0)+IF(ISNUMBER(H105),20,0)+IF(ISNUMBER(H111),20,0)+IF(ISNUMBER(H117),20,0)+IF(ISNUMBER(H123),20,0)+IF(ISNUMBER(H129),20,0)))</f>
        <v/>
      </c>
      <c r="I136" s="41" t="str">
        <f>IF((IF(ISNUMBER(I5),6.7,0)+IF(ISNUMBER(I11),6.7,0)+IF(ISNUMBER(I17),6.6,0)+IF(ISNUMBER(I25),6.7,0)+IF(ISNUMBER(I31),6.7,0)+IF(ISNUMBER(I37),6.6,0)+IF(ISNUMBER(I45),6.7,0)+IF(ISNUMBER(I51),6.7,0)+IF(ISNUMBER(I57),6.6,0)+IF(ISNUMBER(I65),5,0)+IF(ISNUMBER(I71),5,0)+IF(ISNUMBER(I77),5,0)+IF(ISNUMBER(I83),5,0)+IF(ISNUMBER(I91),10,0)+IF(ISNUMBER(I97),10,0)+IF(ISNUMBER(I105),20,0)+IF(ISNUMBER(I111),20,0)+IF(ISNUMBER(I117),20,0)+IF(ISNUMBER(I123),20,0)+IF(ISNUMBER(I129),20,0))=0,"",(IF(ISNUMBER(I5),I5*6.7,0)+IF(ISNUMBER(I11),I11*6.7,0)+IF(ISNUMBER(I17),I17*6.6,0)+IF(ISNUMBER(I25),I25*6.7,0)+IF(ISNUMBER(I31),I31*6.7,0)+IF(ISNUMBER(I37),I37*6.6,0)+IF(ISNUMBER(I45),I45*6.7,0)+IF(ISNUMBER(I51),I51*6.7,0)+IF(ISNUMBER(I57),I57*6.6,0)+IF(ISNUMBER(I65),I65*5,0)+IF(ISNUMBER(I71),I71*5,0)+IF(ISNUMBER(I77),I77*5,0)+IF(ISNUMBER(I83),I83*5,0)+IF(ISNUMBER(I91),I91*10,0)+IF(ISNUMBER(I97),I97*10,0)+IF(ISNUMBER(I105),I105*20,0)+IF(ISNUMBER(I111),I111*20,0)+IF(ISNUMBER(I117),I117*20,0)+IF(ISNUMBER(I123),I123*20,0)+IF(ISNUMBER(I129),I129*20,0))/(IF(ISNUMBER(I5),6.7,0)+IF(ISNUMBER(I11),6.7,0)+IF(ISNUMBER(I17),6.6,0)+IF(ISNUMBER(I25),6.7,0)+IF(ISNUMBER(I31),6.7,0)+IF(ISNUMBER(I37),6.6,0)+IF(ISNUMBER(I45),6.7,0)+IF(ISNUMBER(I51),6.7,0)+IF(ISNUMBER(I57),6.6,0)+IF(ISNUMBER(I65),5,0)+IF(ISNUMBER(I71),5,0)+IF(ISNUMBER(I77),5,0)+IF(ISNUMBER(I83),5,0)+IF(ISNUMBER(I91),10,0)+IF(ISNUMBER(I97),10,0)+IF(ISNUMBER(I105),20,0)+IF(ISNUMBER(I111),20,0)+IF(ISNUMBER(I117),20,0)+IF(ISNUMBER(I123),20,0)+IF(ISNUMBER(I129),20,0)))</f>
        <v/>
      </c>
      <c r="J136" s="41" t="str">
        <f>IF((IF(ISNUMBER(J5),6.7,0)+IF(ISNUMBER(J11),6.7,0)+IF(ISNUMBER(J17),6.6,0)+IF(ISNUMBER(J25),6.7,0)+IF(ISNUMBER(J31),6.7,0)+IF(ISNUMBER(J37),6.6,0)+IF(ISNUMBER(J45),6.7,0)+IF(ISNUMBER(J51),6.7,0)+IF(ISNUMBER(J57),6.6,0)+IF(ISNUMBER(J65),5,0)+IF(ISNUMBER(J71),5,0)+IF(ISNUMBER(J77),5,0)+IF(ISNUMBER(J83),5,0)+IF(ISNUMBER(J91),10,0)+IF(ISNUMBER(J97),10,0)+IF(ISNUMBER(J105),20,0)+IF(ISNUMBER(J111),20,0)+IF(ISNUMBER(J117),20,0)+IF(ISNUMBER(J123),20,0)+IF(ISNUMBER(J129),20,0))=0,"",(IF(ISNUMBER(J5),J5*6.7,0)+IF(ISNUMBER(J11),J11*6.7,0)+IF(ISNUMBER(J17),J17*6.6,0)+IF(ISNUMBER(J25),J25*6.7,0)+IF(ISNUMBER(J31),J31*6.7,0)+IF(ISNUMBER(J37),J37*6.6,0)+IF(ISNUMBER(J45),J45*6.7,0)+IF(ISNUMBER(J51),J51*6.7,0)+IF(ISNUMBER(J57),J57*6.6,0)+IF(ISNUMBER(J65),J65*5,0)+IF(ISNUMBER(J71),J71*5,0)+IF(ISNUMBER(J77),J77*5,0)+IF(ISNUMBER(J83),J83*5,0)+IF(ISNUMBER(J91),J91*10,0)+IF(ISNUMBER(J97),J97*10,0)+IF(ISNUMBER(J105),J105*20,0)+IF(ISNUMBER(J111),J111*20,0)+IF(ISNUMBER(J117),J117*20,0)+IF(ISNUMBER(J123),J123*20,0)+IF(ISNUMBER(J129),J129*20,0))/(IF(ISNUMBER(J5),6.7,0)+IF(ISNUMBER(J11),6.7,0)+IF(ISNUMBER(J17),6.6,0)+IF(ISNUMBER(J25),6.7,0)+IF(ISNUMBER(J31),6.7,0)+IF(ISNUMBER(J37),6.6,0)+IF(ISNUMBER(J45),6.7,0)+IF(ISNUMBER(J51),6.7,0)+IF(ISNUMBER(J57),6.6,0)+IF(ISNUMBER(J65),5,0)+IF(ISNUMBER(J71),5,0)+IF(ISNUMBER(J77),5,0)+IF(ISNUMBER(J83),5,0)+IF(ISNUMBER(J91),10,0)+IF(ISNUMBER(J97),10,0)+IF(ISNUMBER(J105),20,0)+IF(ISNUMBER(J111),20,0)+IF(ISNUMBER(J117),20,0)+IF(ISNUMBER(J123),20,0)+IF(ISNUMBER(J129),20,0)))</f>
        <v/>
      </c>
      <c r="K136" s="41" t="str">
        <f>IF((IF(ISNUMBER(K5),6.7,0)+IF(ISNUMBER(K11),6.7,0)+IF(ISNUMBER(K17),6.6,0)+IF(ISNUMBER(K25),6.7,0)+IF(ISNUMBER(K31),6.7,0)+IF(ISNUMBER(K37),6.6,0)+IF(ISNUMBER(K45),6.7,0)+IF(ISNUMBER(K51),6.7,0)+IF(ISNUMBER(K57),6.6,0)+IF(ISNUMBER(K65),5,0)+IF(ISNUMBER(K71),5,0)+IF(ISNUMBER(K77),5,0)+IF(ISNUMBER(K83),5,0)+IF(ISNUMBER(K91),10,0)+IF(ISNUMBER(K97),10,0)+IF(ISNUMBER(K105),20,0)+IF(ISNUMBER(K111),20,0)+IF(ISNUMBER(K117),20,0)+IF(ISNUMBER(K123),20,0)+IF(ISNUMBER(K129),20,0))=0,"",(IF(ISNUMBER(K5),K5*6.7,0)+IF(ISNUMBER(K11),K11*6.7,0)+IF(ISNUMBER(K17),K17*6.6,0)+IF(ISNUMBER(K25),K25*6.7,0)+IF(ISNUMBER(K31),K31*6.7,0)+IF(ISNUMBER(K37),K37*6.6,0)+IF(ISNUMBER(K45),K45*6.7,0)+IF(ISNUMBER(K51),K51*6.7,0)+IF(ISNUMBER(K57),K57*6.6,0)+IF(ISNUMBER(K65),K65*5,0)+IF(ISNUMBER(K71),K71*5,0)+IF(ISNUMBER(K77),K77*5,0)+IF(ISNUMBER(K83),K83*5,0)+IF(ISNUMBER(K91),K91*10,0)+IF(ISNUMBER(K97),K97*10,0)+IF(ISNUMBER(K105),K105*20,0)+IF(ISNUMBER(K111),K111*20,0)+IF(ISNUMBER(K117),K117*20,0)+IF(ISNUMBER(K123),K123*20,0)+IF(ISNUMBER(K129),K129*20,0))/(IF(ISNUMBER(K5),6.7,0)+IF(ISNUMBER(K11),6.7,0)+IF(ISNUMBER(K17),6.6,0)+IF(ISNUMBER(K25),6.7,0)+IF(ISNUMBER(K31),6.7,0)+IF(ISNUMBER(K37),6.6,0)+IF(ISNUMBER(K45),6.7,0)+IF(ISNUMBER(K51),6.7,0)+IF(ISNUMBER(K57),6.6,0)+IF(ISNUMBER(K65),5,0)+IF(ISNUMBER(K71),5,0)+IF(ISNUMBER(K77),5,0)+IF(ISNUMBER(K83),5,0)+IF(ISNUMBER(K91),10,0)+IF(ISNUMBER(K97),10,0)+IF(ISNUMBER(K105),20,0)+IF(ISNUMBER(K111),20,0)+IF(ISNUMBER(K117),20,0)+IF(ISNUMBER(K123),20,0)+IF(ISNUMBER(K129),20,0)))</f>
        <v/>
      </c>
      <c r="L136" s="41" t="str">
        <f>IF((IF(ISNUMBER(L5),6.7,0)+IF(ISNUMBER(L11),6.7,0)+IF(ISNUMBER(L17),6.6,0)+IF(ISNUMBER(L25),6.7,0)+IF(ISNUMBER(L31),6.7,0)+IF(ISNUMBER(L37),6.6,0)+IF(ISNUMBER(L45),6.7,0)+IF(ISNUMBER(L51),6.7,0)+IF(ISNUMBER(L57),6.6,0)+IF(ISNUMBER(L65),5,0)+IF(ISNUMBER(L71),5,0)+IF(ISNUMBER(L77),5,0)+IF(ISNUMBER(L83),5,0)+IF(ISNUMBER(L91),10,0)+IF(ISNUMBER(L97),10,0)+IF(ISNUMBER(L105),20,0)+IF(ISNUMBER(L111),20,0)+IF(ISNUMBER(L117),20,0)+IF(ISNUMBER(L123),20,0)+IF(ISNUMBER(L129),20,0))=0,"",(IF(ISNUMBER(L5),L5*6.7,0)+IF(ISNUMBER(L11),L11*6.7,0)+IF(ISNUMBER(L17),L17*6.6,0)+IF(ISNUMBER(L25),L25*6.7,0)+IF(ISNUMBER(L31),L31*6.7,0)+IF(ISNUMBER(L37),L37*6.6,0)+IF(ISNUMBER(L45),L45*6.7,0)+IF(ISNUMBER(L51),L51*6.7,0)+IF(ISNUMBER(L57),L57*6.6,0)+IF(ISNUMBER(L65),L65*5,0)+IF(ISNUMBER(L71),L71*5,0)+IF(ISNUMBER(L77),L77*5,0)+IF(ISNUMBER(L83),L83*5,0)+IF(ISNUMBER(L91),L91*10,0)+IF(ISNUMBER(L97),L97*10,0)+IF(ISNUMBER(L105),L105*20,0)+IF(ISNUMBER(L111),L111*20,0)+IF(ISNUMBER(L117),L117*20,0)+IF(ISNUMBER(L123),L123*20,0)+IF(ISNUMBER(L129),L129*20,0))/(IF(ISNUMBER(L5),6.7,0)+IF(ISNUMBER(L11),6.7,0)+IF(ISNUMBER(L17),6.6,0)+IF(ISNUMBER(L25),6.7,0)+IF(ISNUMBER(L31),6.7,0)+IF(ISNUMBER(L37),6.6,0)+IF(ISNUMBER(L45),6.7,0)+IF(ISNUMBER(L51),6.7,0)+IF(ISNUMBER(L57),6.6,0)+IF(ISNUMBER(L65),5,0)+IF(ISNUMBER(L71),5,0)+IF(ISNUMBER(L77),5,0)+IF(ISNUMBER(L83),5,0)+IF(ISNUMBER(L91),10,0)+IF(ISNUMBER(L97),10,0)+IF(ISNUMBER(L105),20,0)+IF(ISNUMBER(L111),20,0)+IF(ISNUMBER(L117),20,0)+IF(ISNUMBER(L123),20,0)+IF(ISNUMBER(L129),20,0)))</f>
        <v/>
      </c>
      <c r="M136" s="41" t="str">
        <f>IF((IF(ISNUMBER(M5),6.7,0)+IF(ISNUMBER(M11),6.7,0)+IF(ISNUMBER(M17),6.6,0)+IF(ISNUMBER(M25),6.7,0)+IF(ISNUMBER(M31),6.7,0)+IF(ISNUMBER(M37),6.6,0)+IF(ISNUMBER(M45),6.7,0)+IF(ISNUMBER(M51),6.7,0)+IF(ISNUMBER(M57),6.6,0)+IF(ISNUMBER(M65),5,0)+IF(ISNUMBER(M71),5,0)+IF(ISNUMBER(M77),5,0)+IF(ISNUMBER(M83),5,0)+IF(ISNUMBER(M91),10,0)+IF(ISNUMBER(M97),10,0)+IF(ISNUMBER(M105),20,0)+IF(ISNUMBER(M111),20,0)+IF(ISNUMBER(M117),20,0)+IF(ISNUMBER(M123),20,0)+IF(ISNUMBER(M129),20,0))=0,"",(IF(ISNUMBER(M5),M5*6.7,0)+IF(ISNUMBER(M11),M11*6.7,0)+IF(ISNUMBER(M17),M17*6.6,0)+IF(ISNUMBER(M25),M25*6.7,0)+IF(ISNUMBER(M31),M31*6.7,0)+IF(ISNUMBER(M37),M37*6.6,0)+IF(ISNUMBER(M45),M45*6.7,0)+IF(ISNUMBER(M51),M51*6.7,0)+IF(ISNUMBER(M57),M57*6.6,0)+IF(ISNUMBER(M65),M65*5,0)+IF(ISNUMBER(M71),M71*5,0)+IF(ISNUMBER(M77),M77*5,0)+IF(ISNUMBER(M83),M83*5,0)+IF(ISNUMBER(M91),M91*10,0)+IF(ISNUMBER(M97),M97*10,0)+IF(ISNUMBER(M105),M105*20,0)+IF(ISNUMBER(M111),M111*20,0)+IF(ISNUMBER(M117),M117*20,0)+IF(ISNUMBER(M123),M123*20,0)+IF(ISNUMBER(M129),M129*20,0))/(IF(ISNUMBER(M5),6.7,0)+IF(ISNUMBER(M11),6.7,0)+IF(ISNUMBER(M17),6.6,0)+IF(ISNUMBER(M25),6.7,0)+IF(ISNUMBER(M31),6.7,0)+IF(ISNUMBER(M37),6.6,0)+IF(ISNUMBER(M45),6.7,0)+IF(ISNUMBER(M51),6.7,0)+IF(ISNUMBER(M57),6.6,0)+IF(ISNUMBER(M65),5,0)+IF(ISNUMBER(M71),5,0)+IF(ISNUMBER(M77),5,0)+IF(ISNUMBER(M83),5,0)+IF(ISNUMBER(M91),10,0)+IF(ISNUMBER(M97),10,0)+IF(ISNUMBER(M105),20,0)+IF(ISNUMBER(M111),20,0)+IF(ISNUMBER(M117),20,0)+IF(ISNUMBER(M123),20,0)+IF(ISNUMBER(M129),20,0)))</f>
        <v/>
      </c>
      <c r="N136" s="41" t="str">
        <f>IF((IF(ISNUMBER(N5),6.7,0)+IF(ISNUMBER(N11),6.7,0)+IF(ISNUMBER(N17),6.6,0)+IF(ISNUMBER(N25),6.7,0)+IF(ISNUMBER(N31),6.7,0)+IF(ISNUMBER(N37),6.6,0)+IF(ISNUMBER(N45),6.7,0)+IF(ISNUMBER(N51),6.7,0)+IF(ISNUMBER(N57),6.6,0)+IF(ISNUMBER(N65),5,0)+IF(ISNUMBER(N71),5,0)+IF(ISNUMBER(N77),5,0)+IF(ISNUMBER(N83),5,0)+IF(ISNUMBER(N91),10,0)+IF(ISNUMBER(N97),10,0)+IF(ISNUMBER(N105),20,0)+IF(ISNUMBER(N111),20,0)+IF(ISNUMBER(N117),20,0)+IF(ISNUMBER(N123),20,0)+IF(ISNUMBER(N129),20,0))=0,"",(IF(ISNUMBER(N5),N5*6.7,0)+IF(ISNUMBER(N11),N11*6.7,0)+IF(ISNUMBER(N17),N17*6.6,0)+IF(ISNUMBER(N25),N25*6.7,0)+IF(ISNUMBER(N31),N31*6.7,0)+IF(ISNUMBER(N37),N37*6.6,0)+IF(ISNUMBER(N45),N45*6.7,0)+IF(ISNUMBER(N51),N51*6.7,0)+IF(ISNUMBER(N57),N57*6.6,0)+IF(ISNUMBER(N65),N65*5,0)+IF(ISNUMBER(N71),N71*5,0)+IF(ISNUMBER(N77),N77*5,0)+IF(ISNUMBER(N83),N83*5,0)+IF(ISNUMBER(N91),N91*10,0)+IF(ISNUMBER(N97),N97*10,0)+IF(ISNUMBER(N105),N105*20,0)+IF(ISNUMBER(N111),N111*20,0)+IF(ISNUMBER(N117),N117*20,0)+IF(ISNUMBER(N123),N123*20,0)+IF(ISNUMBER(N129),N129*20,0))/(IF(ISNUMBER(N5),6.7,0)+IF(ISNUMBER(N11),6.7,0)+IF(ISNUMBER(N17),6.6,0)+IF(ISNUMBER(N25),6.7,0)+IF(ISNUMBER(N31),6.7,0)+IF(ISNUMBER(N37),6.6,0)+IF(ISNUMBER(N45),6.7,0)+IF(ISNUMBER(N51),6.7,0)+IF(ISNUMBER(N57),6.6,0)+IF(ISNUMBER(N65),5,0)+IF(ISNUMBER(N71),5,0)+IF(ISNUMBER(N77),5,0)+IF(ISNUMBER(N83),5,0)+IF(ISNUMBER(N91),10,0)+IF(ISNUMBER(N97),10,0)+IF(ISNUMBER(N105),20,0)+IF(ISNUMBER(N111),20,0)+IF(ISNUMBER(N117),20,0)+IF(ISNUMBER(N123),20,0)+IF(ISNUMBER(N129),20,0)))</f>
        <v/>
      </c>
      <c r="O136" s="41" t="str">
        <f>IF((IF(ISNUMBER(O5),6.7,0)+IF(ISNUMBER(O11),6.7,0)+IF(ISNUMBER(O17),6.6,0)+IF(ISNUMBER(O25),6.7,0)+IF(ISNUMBER(O31),6.7,0)+IF(ISNUMBER(O37),6.6,0)+IF(ISNUMBER(O45),6.7,0)+IF(ISNUMBER(O51),6.7,0)+IF(ISNUMBER(O57),6.6,0)+IF(ISNUMBER(O65),5,0)+IF(ISNUMBER(O71),5,0)+IF(ISNUMBER(O77),5,0)+IF(ISNUMBER(O83),5,0)+IF(ISNUMBER(O91),10,0)+IF(ISNUMBER(O97),10,0)+IF(ISNUMBER(O105),20,0)+IF(ISNUMBER(O111),20,0)+IF(ISNUMBER(O117),20,0)+IF(ISNUMBER(O123),20,0)+IF(ISNUMBER(O129),20,0))=0,"",(IF(ISNUMBER(O5),O5*6.7,0)+IF(ISNUMBER(O11),O11*6.7,0)+IF(ISNUMBER(O17),O17*6.6,0)+IF(ISNUMBER(O25),O25*6.7,0)+IF(ISNUMBER(O31),O31*6.7,0)+IF(ISNUMBER(O37),O37*6.6,0)+IF(ISNUMBER(O45),O45*6.7,0)+IF(ISNUMBER(O51),O51*6.7,0)+IF(ISNUMBER(O57),O57*6.6,0)+IF(ISNUMBER(O65),O65*5,0)+IF(ISNUMBER(O71),O71*5,0)+IF(ISNUMBER(O77),O77*5,0)+IF(ISNUMBER(O83),O83*5,0)+IF(ISNUMBER(O91),O91*10,0)+IF(ISNUMBER(O97),O97*10,0)+IF(ISNUMBER(O105),O105*20,0)+IF(ISNUMBER(O111),O111*20,0)+IF(ISNUMBER(O117),O117*20,0)+IF(ISNUMBER(O123),O123*20,0)+IF(ISNUMBER(O129),O129*20,0))/(IF(ISNUMBER(O5),6.7,0)+IF(ISNUMBER(O11),6.7,0)+IF(ISNUMBER(O17),6.6,0)+IF(ISNUMBER(O25),6.7,0)+IF(ISNUMBER(O31),6.7,0)+IF(ISNUMBER(O37),6.6,0)+IF(ISNUMBER(O45),6.7,0)+IF(ISNUMBER(O51),6.7,0)+IF(ISNUMBER(O57),6.6,0)+IF(ISNUMBER(O65),5,0)+IF(ISNUMBER(O71),5,0)+IF(ISNUMBER(O77),5,0)+IF(ISNUMBER(O83),5,0)+IF(ISNUMBER(O91),10,0)+IF(ISNUMBER(O97),10,0)+IF(ISNUMBER(O105),20,0)+IF(ISNUMBER(O111),20,0)+IF(ISNUMBER(O117),20,0)+IF(ISNUMBER(O123),20,0)+IF(ISNUMBER(O129),20,0)))</f>
        <v/>
      </c>
      <c r="P136" s="41" t="str">
        <f>IF((IF(ISNUMBER(P5),6.7,0)+IF(ISNUMBER(P11),6.7,0)+IF(ISNUMBER(P17),6.6,0)+IF(ISNUMBER(P25),6.7,0)+IF(ISNUMBER(P31),6.7,0)+IF(ISNUMBER(P37),6.6,0)+IF(ISNUMBER(P45),6.7,0)+IF(ISNUMBER(P51),6.7,0)+IF(ISNUMBER(P57),6.6,0)+IF(ISNUMBER(P65),5,0)+IF(ISNUMBER(P71),5,0)+IF(ISNUMBER(P77),5,0)+IF(ISNUMBER(P83),5,0)+IF(ISNUMBER(P91),10,0)+IF(ISNUMBER(P97),10,0)+IF(ISNUMBER(P105),20,0)+IF(ISNUMBER(P111),20,0)+IF(ISNUMBER(P117),20,0)+IF(ISNUMBER(P123),20,0)+IF(ISNUMBER(P129),20,0))=0,"",(IF(ISNUMBER(P5),P5*6.7,0)+IF(ISNUMBER(P11),P11*6.7,0)+IF(ISNUMBER(P17),P17*6.6,0)+IF(ISNUMBER(P25),P25*6.7,0)+IF(ISNUMBER(P31),P31*6.7,0)+IF(ISNUMBER(P37),P37*6.6,0)+IF(ISNUMBER(P45),P45*6.7,0)+IF(ISNUMBER(P51),P51*6.7,0)+IF(ISNUMBER(P57),P57*6.6,0)+IF(ISNUMBER(P65),P65*5,0)+IF(ISNUMBER(P71),P71*5,0)+IF(ISNUMBER(P77),P77*5,0)+IF(ISNUMBER(P83),P83*5,0)+IF(ISNUMBER(P91),P91*10,0)+IF(ISNUMBER(P97),P97*10,0)+IF(ISNUMBER(P105),P105*20,0)+IF(ISNUMBER(P111),P111*20,0)+IF(ISNUMBER(P117),P117*20,0)+IF(ISNUMBER(P123),P123*20,0)+IF(ISNUMBER(P129),P129*20,0))/(IF(ISNUMBER(P5),6.7,0)+IF(ISNUMBER(P11),6.7,0)+IF(ISNUMBER(P17),6.6,0)+IF(ISNUMBER(P25),6.7,0)+IF(ISNUMBER(P31),6.7,0)+IF(ISNUMBER(P37),6.6,0)+IF(ISNUMBER(P45),6.7,0)+IF(ISNUMBER(P51),6.7,0)+IF(ISNUMBER(P57),6.6,0)+IF(ISNUMBER(P65),5,0)+IF(ISNUMBER(P71),5,0)+IF(ISNUMBER(P77),5,0)+IF(ISNUMBER(P83),5,0)+IF(ISNUMBER(P91),10,0)+IF(ISNUMBER(P97),10,0)+IF(ISNUMBER(P105),20,0)+IF(ISNUMBER(P111),20,0)+IF(ISNUMBER(P117),20,0)+IF(ISNUMBER(P123),20,0)+IF(ISNUMBER(P129),20,0)))</f>
        <v/>
      </c>
      <c r="Q136" s="41" t="str">
        <f>IF((IF(ISNUMBER(Q5),6.7,0)+IF(ISNUMBER(Q11),6.7,0)+IF(ISNUMBER(Q17),6.6,0)+IF(ISNUMBER(Q25),6.7,0)+IF(ISNUMBER(Q31),6.7,0)+IF(ISNUMBER(Q37),6.6,0)+IF(ISNUMBER(Q45),6.7,0)+IF(ISNUMBER(Q51),6.7,0)+IF(ISNUMBER(Q57),6.6,0)+IF(ISNUMBER(Q65),5,0)+IF(ISNUMBER(Q71),5,0)+IF(ISNUMBER(Q77),5,0)+IF(ISNUMBER(Q83),5,0)+IF(ISNUMBER(Q91),10,0)+IF(ISNUMBER(Q97),10,0)+IF(ISNUMBER(Q105),20,0)+IF(ISNUMBER(Q111),20,0)+IF(ISNUMBER(Q117),20,0)+IF(ISNUMBER(Q123),20,0)+IF(ISNUMBER(Q129),20,0))=0,"",(IF(ISNUMBER(Q5),Q5*6.7,0)+IF(ISNUMBER(Q11),Q11*6.7,0)+IF(ISNUMBER(Q17),Q17*6.6,0)+IF(ISNUMBER(Q25),Q25*6.7,0)+IF(ISNUMBER(Q31),Q31*6.7,0)+IF(ISNUMBER(Q37),Q37*6.6,0)+IF(ISNUMBER(Q45),Q45*6.7,0)+IF(ISNUMBER(Q51),Q51*6.7,0)+IF(ISNUMBER(Q57),Q57*6.6,0)+IF(ISNUMBER(Q65),Q65*5,0)+IF(ISNUMBER(Q71),Q71*5,0)+IF(ISNUMBER(Q77),Q77*5,0)+IF(ISNUMBER(Q83),Q83*5,0)+IF(ISNUMBER(Q91),Q91*10,0)+IF(ISNUMBER(Q97),Q97*10,0)+IF(ISNUMBER(Q105),Q105*20,0)+IF(ISNUMBER(Q111),Q111*20,0)+IF(ISNUMBER(Q117),Q117*20,0)+IF(ISNUMBER(Q123),Q123*20,0)+IF(ISNUMBER(Q129),Q129*20,0))/(IF(ISNUMBER(Q5),6.7,0)+IF(ISNUMBER(Q11),6.7,0)+IF(ISNUMBER(Q17),6.6,0)+IF(ISNUMBER(Q25),6.7,0)+IF(ISNUMBER(Q31),6.7,0)+IF(ISNUMBER(Q37),6.6,0)+IF(ISNUMBER(Q45),6.7,0)+IF(ISNUMBER(Q51),6.7,0)+IF(ISNUMBER(Q57),6.6,0)+IF(ISNUMBER(Q65),5,0)+IF(ISNUMBER(Q71),5,0)+IF(ISNUMBER(Q77),5,0)+IF(ISNUMBER(Q83),5,0)+IF(ISNUMBER(Q91),10,0)+IF(ISNUMBER(Q97),10,0)+IF(ISNUMBER(Q105),20,0)+IF(ISNUMBER(Q111),20,0)+IF(ISNUMBER(Q117),20,0)+IF(ISNUMBER(Q123),20,0)+IF(ISNUMBER(Q129),20,0)))</f>
        <v/>
      </c>
      <c r="R136" s="41" t="str">
        <f>IF((IF(ISNUMBER(R5),6.7,0)+IF(ISNUMBER(R11),6.7,0)+IF(ISNUMBER(R17),6.6,0)+IF(ISNUMBER(R25),6.7,0)+IF(ISNUMBER(R31),6.7,0)+IF(ISNUMBER(R37),6.6,0)+IF(ISNUMBER(R45),6.7,0)+IF(ISNUMBER(R51),6.7,0)+IF(ISNUMBER(R57),6.6,0)+IF(ISNUMBER(R65),5,0)+IF(ISNUMBER(R71),5,0)+IF(ISNUMBER(R77),5,0)+IF(ISNUMBER(R83),5,0)+IF(ISNUMBER(R91),10,0)+IF(ISNUMBER(R97),10,0)+IF(ISNUMBER(R105),20,0)+IF(ISNUMBER(R111),20,0)+IF(ISNUMBER(R117),20,0)+IF(ISNUMBER(R123),20,0)+IF(ISNUMBER(R129),20,0))=0,"",(IF(ISNUMBER(R5),R5*6.7,0)+IF(ISNUMBER(R11),R11*6.7,0)+IF(ISNUMBER(R17),R17*6.6,0)+IF(ISNUMBER(R25),R25*6.7,0)+IF(ISNUMBER(R31),R31*6.7,0)+IF(ISNUMBER(R37),R37*6.6,0)+IF(ISNUMBER(R45),R45*6.7,0)+IF(ISNUMBER(R51),R51*6.7,0)+IF(ISNUMBER(R57),R57*6.6,0)+IF(ISNUMBER(R65),R65*5,0)+IF(ISNUMBER(R71),R71*5,0)+IF(ISNUMBER(R77),R77*5,0)+IF(ISNUMBER(R83),R83*5,0)+IF(ISNUMBER(R91),R91*10,0)+IF(ISNUMBER(R97),R97*10,0)+IF(ISNUMBER(R105),R105*20,0)+IF(ISNUMBER(R111),R111*20,0)+IF(ISNUMBER(R117),R117*20,0)+IF(ISNUMBER(R123),R123*20,0)+IF(ISNUMBER(R129),R129*20,0))/(IF(ISNUMBER(R5),6.7,0)+IF(ISNUMBER(R11),6.7,0)+IF(ISNUMBER(R17),6.6,0)+IF(ISNUMBER(R25),6.7,0)+IF(ISNUMBER(R31),6.7,0)+IF(ISNUMBER(R37),6.6,0)+IF(ISNUMBER(R45),6.7,0)+IF(ISNUMBER(R51),6.7,0)+IF(ISNUMBER(R57),6.6,0)+IF(ISNUMBER(R65),5,0)+IF(ISNUMBER(R71),5,0)+IF(ISNUMBER(R77),5,0)+IF(ISNUMBER(R83),5,0)+IF(ISNUMBER(R91),10,0)+IF(ISNUMBER(R97),10,0)+IF(ISNUMBER(R105),20,0)+IF(ISNUMBER(R111),20,0)+IF(ISNUMBER(R117),20,0)+IF(ISNUMBER(R123),20,0)+IF(ISNUMBER(R129),20,0)))</f>
        <v/>
      </c>
      <c r="S136" s="41" t="str">
        <f>IF((IF(ISNUMBER(S5),6.7,0)+IF(ISNUMBER(S11),6.7,0)+IF(ISNUMBER(S17),6.6,0)+IF(ISNUMBER(S25),6.7,0)+IF(ISNUMBER(S31),6.7,0)+IF(ISNUMBER(S37),6.6,0)+IF(ISNUMBER(S45),6.7,0)+IF(ISNUMBER(S51),6.7,0)+IF(ISNUMBER(S57),6.6,0)+IF(ISNUMBER(S65),5,0)+IF(ISNUMBER(S71),5,0)+IF(ISNUMBER(S77),5,0)+IF(ISNUMBER(S83),5,0)+IF(ISNUMBER(S91),10,0)+IF(ISNUMBER(S97),10,0)+IF(ISNUMBER(S105),20,0)+IF(ISNUMBER(S111),20,0)+IF(ISNUMBER(S117),20,0)+IF(ISNUMBER(S123),20,0)+IF(ISNUMBER(S129),20,0))=0,"",(IF(ISNUMBER(S5),S5*6.7,0)+IF(ISNUMBER(S11),S11*6.7,0)+IF(ISNUMBER(S17),S17*6.6,0)+IF(ISNUMBER(S25),S25*6.7,0)+IF(ISNUMBER(S31),S31*6.7,0)+IF(ISNUMBER(S37),S37*6.6,0)+IF(ISNUMBER(S45),S45*6.7,0)+IF(ISNUMBER(S51),S51*6.7,0)+IF(ISNUMBER(S57),S57*6.6,0)+IF(ISNUMBER(S65),S65*5,0)+IF(ISNUMBER(S71),S71*5,0)+IF(ISNUMBER(S77),S77*5,0)+IF(ISNUMBER(S83),S83*5,0)+IF(ISNUMBER(S91),S91*10,0)+IF(ISNUMBER(S97),S97*10,0)+IF(ISNUMBER(S105),S105*20,0)+IF(ISNUMBER(S111),S111*20,0)+IF(ISNUMBER(S117),S117*20,0)+IF(ISNUMBER(S123),S123*20,0)+IF(ISNUMBER(S129),S129*20,0))/(IF(ISNUMBER(S5),6.7,0)+IF(ISNUMBER(S11),6.7,0)+IF(ISNUMBER(S17),6.6,0)+IF(ISNUMBER(S25),6.7,0)+IF(ISNUMBER(S31),6.7,0)+IF(ISNUMBER(S37),6.6,0)+IF(ISNUMBER(S45),6.7,0)+IF(ISNUMBER(S51),6.7,0)+IF(ISNUMBER(S57),6.6,0)+IF(ISNUMBER(S65),5,0)+IF(ISNUMBER(S71),5,0)+IF(ISNUMBER(S77),5,0)+IF(ISNUMBER(S83),5,0)+IF(ISNUMBER(S91),10,0)+IF(ISNUMBER(S97),10,0)+IF(ISNUMBER(S105),20,0)+IF(ISNUMBER(S111),20,0)+IF(ISNUMBER(S117),20,0)+IF(ISNUMBER(S123),20,0)+IF(ISNUMBER(S129),20,0)))</f>
        <v/>
      </c>
      <c r="T136" s="41" t="str">
        <f>IF((IF(ISNUMBER(T5),6.7,0)+IF(ISNUMBER(T11),6.7,0)+IF(ISNUMBER(T17),6.6,0)+IF(ISNUMBER(T25),6.7,0)+IF(ISNUMBER(T31),6.7,0)+IF(ISNUMBER(T37),6.6,0)+IF(ISNUMBER(T45),6.7,0)+IF(ISNUMBER(T51),6.7,0)+IF(ISNUMBER(T57),6.6,0)+IF(ISNUMBER(T65),5,0)+IF(ISNUMBER(T71),5,0)+IF(ISNUMBER(T77),5,0)+IF(ISNUMBER(T83),5,0)+IF(ISNUMBER(T91),10,0)+IF(ISNUMBER(T97),10,0)+IF(ISNUMBER(T105),20,0)+IF(ISNUMBER(T111),20,0)+IF(ISNUMBER(T117),20,0)+IF(ISNUMBER(T123),20,0)+IF(ISNUMBER(T129),20,0))=0,"",(IF(ISNUMBER(T5),T5*6.7,0)+IF(ISNUMBER(T11),T11*6.7,0)+IF(ISNUMBER(T17),T17*6.6,0)+IF(ISNUMBER(T25),T25*6.7,0)+IF(ISNUMBER(T31),T31*6.7,0)+IF(ISNUMBER(T37),T37*6.6,0)+IF(ISNUMBER(T45),T45*6.7,0)+IF(ISNUMBER(T51),T51*6.7,0)+IF(ISNUMBER(T57),T57*6.6,0)+IF(ISNUMBER(T65),T65*5,0)+IF(ISNUMBER(T71),T71*5,0)+IF(ISNUMBER(T77),T77*5,0)+IF(ISNUMBER(T83),T83*5,0)+IF(ISNUMBER(T91),T91*10,0)+IF(ISNUMBER(T97),T97*10,0)+IF(ISNUMBER(T105),T105*20,0)+IF(ISNUMBER(T111),T111*20,0)+IF(ISNUMBER(T117),T117*20,0)+IF(ISNUMBER(T123),T123*20,0)+IF(ISNUMBER(T129),T129*20,0))/(IF(ISNUMBER(T5),6.7,0)+IF(ISNUMBER(T11),6.7,0)+IF(ISNUMBER(T17),6.6,0)+IF(ISNUMBER(T25),6.7,0)+IF(ISNUMBER(T31),6.7,0)+IF(ISNUMBER(T37),6.6,0)+IF(ISNUMBER(T45),6.7,0)+IF(ISNUMBER(T51),6.7,0)+IF(ISNUMBER(T57),6.6,0)+IF(ISNUMBER(T65),5,0)+IF(ISNUMBER(T71),5,0)+IF(ISNUMBER(T77),5,0)+IF(ISNUMBER(T83),5,0)+IF(ISNUMBER(T91),10,0)+IF(ISNUMBER(T97),10,0)+IF(ISNUMBER(T105),20,0)+IF(ISNUMBER(T111),20,0)+IF(ISNUMBER(T117),20,0)+IF(ISNUMBER(T123),20,0)+IF(ISNUMBER(T129),20,0)))</f>
        <v/>
      </c>
      <c r="U136" s="41" t="str">
        <f>IF((IF(ISNUMBER(U5),6.7,0)+IF(ISNUMBER(U11),6.7,0)+IF(ISNUMBER(U17),6.6,0)+IF(ISNUMBER(U25),6.7,0)+IF(ISNUMBER(U31),6.7,0)+IF(ISNUMBER(U37),6.6,0)+IF(ISNUMBER(U45),6.7,0)+IF(ISNUMBER(U51),6.7,0)+IF(ISNUMBER(U57),6.6,0)+IF(ISNUMBER(U65),5,0)+IF(ISNUMBER(U71),5,0)+IF(ISNUMBER(U77),5,0)+IF(ISNUMBER(U83),5,0)+IF(ISNUMBER(U91),10,0)+IF(ISNUMBER(U97),10,0)+IF(ISNUMBER(U105),20,0)+IF(ISNUMBER(U111),20,0)+IF(ISNUMBER(U117),20,0)+IF(ISNUMBER(U123),20,0)+IF(ISNUMBER(U129),20,0))=0,"",(IF(ISNUMBER(U5),U5*6.7,0)+IF(ISNUMBER(U11),U11*6.7,0)+IF(ISNUMBER(U17),U17*6.6,0)+IF(ISNUMBER(U25),U25*6.7,0)+IF(ISNUMBER(U31),U31*6.7,0)+IF(ISNUMBER(U37),U37*6.6,0)+IF(ISNUMBER(U45),U45*6.7,0)+IF(ISNUMBER(U51),U51*6.7,0)+IF(ISNUMBER(U57),U57*6.6,0)+IF(ISNUMBER(U65),U65*5,0)+IF(ISNUMBER(U71),U71*5,0)+IF(ISNUMBER(U77),U77*5,0)+IF(ISNUMBER(U83),U83*5,0)+IF(ISNUMBER(U91),U91*10,0)+IF(ISNUMBER(U97),U97*10,0)+IF(ISNUMBER(U105),U105*20,0)+IF(ISNUMBER(U111),U111*20,0)+IF(ISNUMBER(U117),U117*20,0)+IF(ISNUMBER(U123),U123*20,0)+IF(ISNUMBER(U129),U129*20,0))/(IF(ISNUMBER(U5),6.7,0)+IF(ISNUMBER(U11),6.7,0)+IF(ISNUMBER(U17),6.6,0)+IF(ISNUMBER(U25),6.7,0)+IF(ISNUMBER(U31),6.7,0)+IF(ISNUMBER(U37),6.6,0)+IF(ISNUMBER(U45),6.7,0)+IF(ISNUMBER(U51),6.7,0)+IF(ISNUMBER(U57),6.6,0)+IF(ISNUMBER(U65),5,0)+IF(ISNUMBER(U71),5,0)+IF(ISNUMBER(U77),5,0)+IF(ISNUMBER(U83),5,0)+IF(ISNUMBER(U91),10,0)+IF(ISNUMBER(U97),10,0)+IF(ISNUMBER(U105),20,0)+IF(ISNUMBER(U111),20,0)+IF(ISNUMBER(U117),20,0)+IF(ISNUMBER(U123),20,0)+IF(ISNUMBER(U129),20,0)))</f>
        <v/>
      </c>
      <c r="V136" s="41" t="str">
        <f>IF((IF(ISNUMBER(V5),6.7,0)+IF(ISNUMBER(V11),6.7,0)+IF(ISNUMBER(V17),6.6,0)+IF(ISNUMBER(V25),6.7,0)+IF(ISNUMBER(V31),6.7,0)+IF(ISNUMBER(V37),6.6,0)+IF(ISNUMBER(V45),6.7,0)+IF(ISNUMBER(V51),6.7,0)+IF(ISNUMBER(V57),6.6,0)+IF(ISNUMBER(V65),5,0)+IF(ISNUMBER(V71),5,0)+IF(ISNUMBER(V77),5,0)+IF(ISNUMBER(V83),5,0)+IF(ISNUMBER(V91),10,0)+IF(ISNUMBER(V97),10,0)+IF(ISNUMBER(V105),20,0)+IF(ISNUMBER(V111),20,0)+IF(ISNUMBER(V117),20,0)+IF(ISNUMBER(V123),20,0)+IF(ISNUMBER(V129),20,0))=0,"",(IF(ISNUMBER(V5),V5*6.7,0)+IF(ISNUMBER(V11),V11*6.7,0)+IF(ISNUMBER(V17),V17*6.6,0)+IF(ISNUMBER(V25),V25*6.7,0)+IF(ISNUMBER(V31),V31*6.7,0)+IF(ISNUMBER(V37),V37*6.6,0)+IF(ISNUMBER(V45),V45*6.7,0)+IF(ISNUMBER(V51),V51*6.7,0)+IF(ISNUMBER(V57),V57*6.6,0)+IF(ISNUMBER(V65),V65*5,0)+IF(ISNUMBER(V71),V71*5,0)+IF(ISNUMBER(V77),V77*5,0)+IF(ISNUMBER(V83),V83*5,0)+IF(ISNUMBER(V91),V91*10,0)+IF(ISNUMBER(V97),V97*10,0)+IF(ISNUMBER(V105),V105*20,0)+IF(ISNUMBER(V111),V111*20,0)+IF(ISNUMBER(V117),V117*20,0)+IF(ISNUMBER(V123),V123*20,0)+IF(ISNUMBER(V129),V129*20,0))/(IF(ISNUMBER(V5),6.7,0)+IF(ISNUMBER(V11),6.7,0)+IF(ISNUMBER(V17),6.6,0)+IF(ISNUMBER(V25),6.7,0)+IF(ISNUMBER(V31),6.7,0)+IF(ISNUMBER(V37),6.6,0)+IF(ISNUMBER(V45),6.7,0)+IF(ISNUMBER(V51),6.7,0)+IF(ISNUMBER(V57),6.6,0)+IF(ISNUMBER(V65),5,0)+IF(ISNUMBER(V71),5,0)+IF(ISNUMBER(V77),5,0)+IF(ISNUMBER(V83),5,0)+IF(ISNUMBER(V91),10,0)+IF(ISNUMBER(V97),10,0)+IF(ISNUMBER(V105),20,0)+IF(ISNUMBER(V111),20,0)+IF(ISNUMBER(V117),20,0)+IF(ISNUMBER(V123),20,0)+IF(ISNUMBER(V129),20,0)))</f>
        <v/>
      </c>
      <c r="W136" s="41" t="str">
        <f>IF((IF(ISNUMBER(W5),6.7,0)+IF(ISNUMBER(W11),6.7,0)+IF(ISNUMBER(W17),6.6,0)+IF(ISNUMBER(W25),6.7,0)+IF(ISNUMBER(W31),6.7,0)+IF(ISNUMBER(W37),6.6,0)+IF(ISNUMBER(W45),6.7,0)+IF(ISNUMBER(W51),6.7,0)+IF(ISNUMBER(W57),6.6,0)+IF(ISNUMBER(W65),5,0)+IF(ISNUMBER(W71),5,0)+IF(ISNUMBER(W77),5,0)+IF(ISNUMBER(W83),5,0)+IF(ISNUMBER(W91),10,0)+IF(ISNUMBER(W97),10,0)+IF(ISNUMBER(W105),20,0)+IF(ISNUMBER(W111),20,0)+IF(ISNUMBER(W117),20,0)+IF(ISNUMBER(W123),20,0)+IF(ISNUMBER(W129),20,0))=0,"",(IF(ISNUMBER(W5),W5*6.7,0)+IF(ISNUMBER(W11),W11*6.7,0)+IF(ISNUMBER(W17),W17*6.6,0)+IF(ISNUMBER(W25),W25*6.7,0)+IF(ISNUMBER(W31),W31*6.7,0)+IF(ISNUMBER(W37),W37*6.6,0)+IF(ISNUMBER(W45),W45*6.7,0)+IF(ISNUMBER(W51),W51*6.7,0)+IF(ISNUMBER(W57),W57*6.6,0)+IF(ISNUMBER(W65),W65*5,0)+IF(ISNUMBER(W71),W71*5,0)+IF(ISNUMBER(W77),W77*5,0)+IF(ISNUMBER(W83),W83*5,0)+IF(ISNUMBER(W91),W91*10,0)+IF(ISNUMBER(W97),W97*10,0)+IF(ISNUMBER(W105),W105*20,0)+IF(ISNUMBER(W111),W111*20,0)+IF(ISNUMBER(W117),W117*20,0)+IF(ISNUMBER(W123),W123*20,0)+IF(ISNUMBER(W129),W129*20,0))/(IF(ISNUMBER(W5),6.7,0)+IF(ISNUMBER(W11),6.7,0)+IF(ISNUMBER(W17),6.6,0)+IF(ISNUMBER(W25),6.7,0)+IF(ISNUMBER(W31),6.7,0)+IF(ISNUMBER(W37),6.6,0)+IF(ISNUMBER(W45),6.7,0)+IF(ISNUMBER(W51),6.7,0)+IF(ISNUMBER(W57),6.6,0)+IF(ISNUMBER(W65),5,0)+IF(ISNUMBER(W71),5,0)+IF(ISNUMBER(W77),5,0)+IF(ISNUMBER(W83),5,0)+IF(ISNUMBER(W91),10,0)+IF(ISNUMBER(W97),10,0)+IF(ISNUMBER(W105),20,0)+IF(ISNUMBER(W111),20,0)+IF(ISNUMBER(W117),20,0)+IF(ISNUMBER(W123),20,0)+IF(ISNUMBER(W129),20,0)))</f>
        <v/>
      </c>
      <c r="X136" s="41" t="str">
        <f>IF((IF(ISNUMBER(X5),6.7,0)+IF(ISNUMBER(X11),6.7,0)+IF(ISNUMBER(X17),6.6,0)+IF(ISNUMBER(X25),6.7,0)+IF(ISNUMBER(X31),6.7,0)+IF(ISNUMBER(X37),6.6,0)+IF(ISNUMBER(X45),6.7,0)+IF(ISNUMBER(X51),6.7,0)+IF(ISNUMBER(X57),6.6,0)+IF(ISNUMBER(X65),5,0)+IF(ISNUMBER(X71),5,0)+IF(ISNUMBER(X77),5,0)+IF(ISNUMBER(X83),5,0)+IF(ISNUMBER(X91),10,0)+IF(ISNUMBER(X97),10,0)+IF(ISNUMBER(X105),20,0)+IF(ISNUMBER(X111),20,0)+IF(ISNUMBER(X117),20,0)+IF(ISNUMBER(X123),20,0)+IF(ISNUMBER(X129),20,0))=0,"",(IF(ISNUMBER(X5),X5*6.7,0)+IF(ISNUMBER(X11),X11*6.7,0)+IF(ISNUMBER(X17),X17*6.6,0)+IF(ISNUMBER(X25),X25*6.7,0)+IF(ISNUMBER(X31),X31*6.7,0)+IF(ISNUMBER(X37),X37*6.6,0)+IF(ISNUMBER(X45),X45*6.7,0)+IF(ISNUMBER(X51),X51*6.7,0)+IF(ISNUMBER(X57),X57*6.6,0)+IF(ISNUMBER(X65),X65*5,0)+IF(ISNUMBER(X71),X71*5,0)+IF(ISNUMBER(X77),X77*5,0)+IF(ISNUMBER(X83),X83*5,0)+IF(ISNUMBER(X91),X91*10,0)+IF(ISNUMBER(X97),X97*10,0)+IF(ISNUMBER(X105),X105*20,0)+IF(ISNUMBER(X111),X111*20,0)+IF(ISNUMBER(X117),X117*20,0)+IF(ISNUMBER(X123),X123*20,0)+IF(ISNUMBER(X129),X129*20,0))/(IF(ISNUMBER(X5),6.7,0)+IF(ISNUMBER(X11),6.7,0)+IF(ISNUMBER(X17),6.6,0)+IF(ISNUMBER(X25),6.7,0)+IF(ISNUMBER(X31),6.7,0)+IF(ISNUMBER(X37),6.6,0)+IF(ISNUMBER(X45),6.7,0)+IF(ISNUMBER(X51),6.7,0)+IF(ISNUMBER(X57),6.6,0)+IF(ISNUMBER(X65),5,0)+IF(ISNUMBER(X71),5,0)+IF(ISNUMBER(X77),5,0)+IF(ISNUMBER(X83),5,0)+IF(ISNUMBER(X91),10,0)+IF(ISNUMBER(X97),10,0)+IF(ISNUMBER(X105),20,0)+IF(ISNUMBER(X111),20,0)+IF(ISNUMBER(X117),20,0)+IF(ISNUMBER(X123),20,0)+IF(ISNUMBER(X129),20,0)))</f>
        <v/>
      </c>
      <c r="Y136" s="41" t="str">
        <f>IF((IF(ISNUMBER(Y5),6.7,0)+IF(ISNUMBER(Y11),6.7,0)+IF(ISNUMBER(Y17),6.6,0)+IF(ISNUMBER(Y25),6.7,0)+IF(ISNUMBER(Y31),6.7,0)+IF(ISNUMBER(Y37),6.6,0)+IF(ISNUMBER(Y45),6.7,0)+IF(ISNUMBER(Y51),6.7,0)+IF(ISNUMBER(Y57),6.6,0)+IF(ISNUMBER(Y65),5,0)+IF(ISNUMBER(Y71),5,0)+IF(ISNUMBER(Y77),5,0)+IF(ISNUMBER(Y83),5,0)+IF(ISNUMBER(Y91),10,0)+IF(ISNUMBER(Y97),10,0)+IF(ISNUMBER(Y105),20,0)+IF(ISNUMBER(Y111),20,0)+IF(ISNUMBER(Y117),20,0)+IF(ISNUMBER(Y123),20,0)+IF(ISNUMBER(Y129),20,0))=0,"",(IF(ISNUMBER(Y5),Y5*6.7,0)+IF(ISNUMBER(Y11),Y11*6.7,0)+IF(ISNUMBER(Y17),Y17*6.6,0)+IF(ISNUMBER(Y25),Y25*6.7,0)+IF(ISNUMBER(Y31),Y31*6.7,0)+IF(ISNUMBER(Y37),Y37*6.6,0)+IF(ISNUMBER(Y45),Y45*6.7,0)+IF(ISNUMBER(Y51),Y51*6.7,0)+IF(ISNUMBER(Y57),Y57*6.6,0)+IF(ISNUMBER(Y65),Y65*5,0)+IF(ISNUMBER(Y71),Y71*5,0)+IF(ISNUMBER(Y77),Y77*5,0)+IF(ISNUMBER(Y83),Y83*5,0)+IF(ISNUMBER(Y91),Y91*10,0)+IF(ISNUMBER(Y97),Y97*10,0)+IF(ISNUMBER(Y105),Y105*20,0)+IF(ISNUMBER(Y111),Y111*20,0)+IF(ISNUMBER(Y117),Y117*20,0)+IF(ISNUMBER(Y123),Y123*20,0)+IF(ISNUMBER(Y129),Y129*20,0))/(IF(ISNUMBER(Y5),6.7,0)+IF(ISNUMBER(Y11),6.7,0)+IF(ISNUMBER(Y17),6.6,0)+IF(ISNUMBER(Y25),6.7,0)+IF(ISNUMBER(Y31),6.7,0)+IF(ISNUMBER(Y37),6.6,0)+IF(ISNUMBER(Y45),6.7,0)+IF(ISNUMBER(Y51),6.7,0)+IF(ISNUMBER(Y57),6.6,0)+IF(ISNUMBER(Y65),5,0)+IF(ISNUMBER(Y71),5,0)+IF(ISNUMBER(Y77),5,0)+IF(ISNUMBER(Y83),5,0)+IF(ISNUMBER(Y91),10,0)+IF(ISNUMBER(Y97),10,0)+IF(ISNUMBER(Y105),20,0)+IF(ISNUMBER(Y111),20,0)+IF(ISNUMBER(Y117),20,0)+IF(ISNUMBER(Y123),20,0)+IF(ISNUMBER(Y129),20,0)))</f>
        <v/>
      </c>
      <c r="Z136" s="41" t="str">
        <f>_xlfn.IFERROR(AVERAGE(E136:Y136),"")</f>
        <v/>
      </c>
    </row>
  </sheetData>
  <mergeCells count="9">
    <mergeCell ref="A44:Z44"/>
    <mergeCell ref="A1:Z1"/>
    <mergeCell ref="A4:Z4"/>
    <mergeCell ref="A24:Z24"/>
    <mergeCell ref="A2:Z2"/>
    <mergeCell ref="A64:Z64"/>
    <mergeCell ref="A136:D136"/>
    <mergeCell ref="A104:Z104"/>
    <mergeCell ref="A90:Z90"/>
  </mergeCells>
  <conditionalFormatting sqref="E4:Y136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Z4:Z136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dataValidations count="100">
    <dataValidation allowBlank="1" type="list" errorStyle="stop" sqref="E20:Y20">
      <formula1>"Ya,Tidak"</formula1>
    </dataValidation>
    <dataValidation allowBlank="1" type="list" errorStyle="stop" sqref="E35:Y35">
      <formula1>"Ya,Tidak"</formula1>
    </dataValidation>
    <dataValidation allowBlank="1" type="list" errorStyle="stop" sqref="E27:Y27">
      <formula1>"Ya,Tidak"</formula1>
    </dataValidation>
    <dataValidation allowBlank="1" type="list" errorStyle="stop" sqref="E29:Y29">
      <formula1>"Ya,Tidak"</formula1>
    </dataValidation>
    <dataValidation allowBlank="1" type="list" errorStyle="stop" sqref="E68:Y68">
      <formula1>"Ya,Tidak"</formula1>
    </dataValidation>
    <dataValidation allowBlank="1" type="list" errorStyle="stop" sqref="E81:Y81">
      <formula1>"Ya,Tidak"</formula1>
    </dataValidation>
    <dataValidation allowBlank="1" type="list" errorStyle="stop" sqref="E110:Y110">
      <formula1>"Ya,Tidak"</formula1>
    </dataValidation>
    <dataValidation allowBlank="1" type="list" errorStyle="stop" sqref="E131:Y131">
      <formula1>"Ya,Tidak"</formula1>
    </dataValidation>
    <dataValidation allowBlank="1" type="list" errorStyle="stop" sqref="E124:Y124">
      <formula1>"Ya,Tidak"</formula1>
    </dataValidation>
    <dataValidation allowBlank="1" type="list" errorStyle="stop" sqref="E133:Y133">
      <formula1>"Ya,Tidak"</formula1>
    </dataValidation>
    <dataValidation allowBlank="1" type="list" errorStyle="stop" sqref="E127:Y127">
      <formula1>"Ya,Tidak"</formula1>
    </dataValidation>
    <dataValidation allowBlank="1" type="list" errorStyle="stop" sqref="E130:Y130">
      <formula1>"Ya,Tidak"</formula1>
    </dataValidation>
    <dataValidation allowBlank="1" type="list" errorStyle="stop" sqref="E75:Y75">
      <formula1>"Ya,Tidak"</formula1>
    </dataValidation>
    <dataValidation allowBlank="1" type="list" errorStyle="stop" sqref="E88:Y88">
      <formula1>"Ya,Tidak"</formula1>
    </dataValidation>
    <dataValidation allowBlank="1" type="list" errorStyle="stop" sqref="E85:Y85">
      <formula1>"Ya,Tidak"</formula1>
    </dataValidation>
    <dataValidation allowBlank="1" type="list" errorStyle="stop" sqref="E80:Y80">
      <formula1>"Ya,Tidak"</formula1>
    </dataValidation>
    <dataValidation allowBlank="1" type="list" errorStyle="stop" sqref="E78:Y78">
      <formula1>"Ya,Tidak"</formula1>
    </dataValidation>
    <dataValidation allowBlank="1" type="list" errorStyle="stop" sqref="E82:Y82">
      <formula1>"Ya,Tidak"</formula1>
    </dataValidation>
    <dataValidation allowBlank="1" type="list" errorStyle="stop" sqref="E87:Y87">
      <formula1>"Ya,Tidak"</formula1>
    </dataValidation>
    <dataValidation allowBlank="1" type="list" errorStyle="stop" sqref="E94:Y94">
      <formula1>"Ya,Tidak"</formula1>
    </dataValidation>
    <dataValidation allowBlank="1" type="list" errorStyle="stop" sqref="E113:Y113">
      <formula1>"Ya,Tidak"</formula1>
    </dataValidation>
    <dataValidation allowBlank="1" type="list" errorStyle="stop" sqref="E92:Y92">
      <formula1>"Ya,Tidak"</formula1>
    </dataValidation>
    <dataValidation allowBlank="1" type="list" errorStyle="stop" sqref="E101:Y101">
      <formula1>"Ya,Tidak"</formula1>
    </dataValidation>
    <dataValidation allowBlank="1" type="list" errorStyle="stop" sqref="E95:Y95">
      <formula1>"Ya,Tidak"</formula1>
    </dataValidation>
    <dataValidation allowBlank="1" type="list" errorStyle="stop" sqref="E98:Y98">
      <formula1>"Ya,Tidak"</formula1>
    </dataValidation>
    <dataValidation allowBlank="1" type="list" errorStyle="stop" sqref="E100:Y100">
      <formula1>"Ya,Tidak"</formula1>
    </dataValidation>
    <dataValidation allowBlank="1" type="list" errorStyle="stop" sqref="E115:Y115">
      <formula1>"Ya,Tidak"</formula1>
    </dataValidation>
    <dataValidation allowBlank="1" type="list" errorStyle="stop" sqref="E102:Y102">
      <formula1>"Ya,Tidak"</formula1>
    </dataValidation>
    <dataValidation allowBlank="1" type="list" errorStyle="stop" sqref="E118:Y118">
      <formula1>"Ya,Tidak"</formula1>
    </dataValidation>
    <dataValidation allowBlank="1" type="list" errorStyle="stop" sqref="E109:Y109">
      <formula1>"Ya,Tidak"</formula1>
    </dataValidation>
    <dataValidation allowBlank="1" type="list" errorStyle="stop" sqref="E122:Y122">
      <formula1>"Ya,Tidak"</formula1>
    </dataValidation>
    <dataValidation allowBlank="1" type="list" errorStyle="stop" sqref="E119:Y119">
      <formula1>"Ya,Tidak"</formula1>
    </dataValidation>
    <dataValidation allowBlank="1" type="list" errorStyle="stop" sqref="E114:Y114">
      <formula1>"Ya,Tidak"</formula1>
    </dataValidation>
    <dataValidation allowBlank="1" type="list" errorStyle="stop" sqref="E112:Y112">
      <formula1>"Ya,Tidak"</formula1>
    </dataValidation>
    <dataValidation allowBlank="1" type="list" errorStyle="stop" sqref="E116:Y116">
      <formula1>"Ya,Tidak"</formula1>
    </dataValidation>
    <dataValidation allowBlank="1" type="list" errorStyle="stop" sqref="E121:Y121">
      <formula1>"Ya,Tidak"</formula1>
    </dataValidation>
    <dataValidation allowBlank="1" type="list" errorStyle="stop" sqref="E134:Y134">
      <formula1>"Ya,Tidak"</formula1>
    </dataValidation>
    <dataValidation allowBlank="1" type="list" errorStyle="stop" sqref="E125:Y125">
      <formula1>"Ya,Tidak"</formula1>
    </dataValidation>
    <dataValidation allowBlank="1" type="list" errorStyle="stop" sqref="E126:Y126">
      <formula1>"Ya,Tidak"</formula1>
    </dataValidation>
    <dataValidation allowBlank="1" type="list" errorStyle="stop" sqref="E128:Y128">
      <formula1>"Ya,Tidak"</formula1>
    </dataValidation>
    <dataValidation allowBlank="1" type="list" errorStyle="stop" sqref="E132:Y132">
      <formula1>"Ya,Tidak"</formula1>
    </dataValidation>
    <dataValidation allowBlank="1" type="list" errorStyle="stop" sqref="E6:Y6">
      <formula1>"Ya,Tidak"</formula1>
    </dataValidation>
    <dataValidation allowBlank="1" type="list" errorStyle="stop" sqref="E14:Y14">
      <formula1>"Ya,Tidak"</formula1>
    </dataValidation>
    <dataValidation allowBlank="1" type="list" errorStyle="stop" sqref="E12:Y12">
      <formula1>"Ya,Tidak"</formula1>
    </dataValidation>
    <dataValidation allowBlank="1" type="list" errorStyle="stop" sqref="E9:Y9">
      <formula1>"Ya,Tidak"</formula1>
    </dataValidation>
    <dataValidation allowBlank="1" type="list" errorStyle="stop" sqref="E22:Y22">
      <formula1>"Ya,Tidak"</formula1>
    </dataValidation>
    <dataValidation allowBlank="1" type="list" errorStyle="stop" sqref="E47:Y47">
      <formula1>"Ya,Tidak"</formula1>
    </dataValidation>
    <dataValidation allowBlank="1" type="list" errorStyle="stop" sqref="E10:Y10">
      <formula1>"Ya,Tidak"</formula1>
    </dataValidation>
    <dataValidation allowBlank="1" type="list" errorStyle="stop" sqref="E28:Y28">
      <formula1>"Ya,Tidak"</formula1>
    </dataValidation>
    <dataValidation allowBlank="1" type="list" errorStyle="stop" sqref="E18:Y18">
      <formula1>"Ya,Tidak"</formula1>
    </dataValidation>
    <dataValidation allowBlank="1" type="list" errorStyle="stop" sqref="E33:Y33">
      <formula1>"Ya,Tidak"</formula1>
    </dataValidation>
    <dataValidation allowBlank="1" type="list" errorStyle="stop" sqref="E59:Y59">
      <formula1>"Ya,Tidak"</formula1>
    </dataValidation>
    <dataValidation allowBlank="1" type="list" errorStyle="stop" sqref="E74:Y74">
      <formula1>"Ya,Tidak"</formula1>
    </dataValidation>
    <dataValidation allowBlank="1" type="list" errorStyle="stop" sqref="E72:Y72">
      <formula1>"Ya,Tidak"</formula1>
    </dataValidation>
    <dataValidation allowBlank="1" type="list" errorStyle="stop" sqref="E62:Y62">
      <formula1>"Ya,Tidak"</formula1>
    </dataValidation>
    <dataValidation allowBlank="1" type="list" errorStyle="stop" sqref="E107:Y107">
      <formula1>"Ya,Tidak"</formula1>
    </dataValidation>
    <dataValidation allowBlank="1" type="list" errorStyle="stop" sqref="E120:Y120">
      <formula1>"Ya,Tidak"</formula1>
    </dataValidation>
    <dataValidation allowBlank="1" type="list" errorStyle="stop" sqref="E58:Y58">
      <formula1>"Ya,Tidak"</formula1>
    </dataValidation>
    <dataValidation allowBlank="1" type="list" errorStyle="stop" sqref="E69:Y69">
      <formula1>"Ya,Tidak"</formula1>
    </dataValidation>
    <dataValidation allowBlank="1" type="list" errorStyle="stop" sqref="E61:Y61">
      <formula1>"Ya,Tidak"</formula1>
    </dataValidation>
    <dataValidation allowBlank="1" type="list" errorStyle="stop" sqref="E66:Y66">
      <formula1>"Ya,Tidak"</formula1>
    </dataValidation>
    <dataValidation allowBlank="1" type="list" errorStyle="stop" sqref="E93:Y93">
      <formula1>"Ya,Tidak"</formula1>
    </dataValidation>
    <dataValidation allowBlank="1" type="list" errorStyle="stop" sqref="E108:Y108">
      <formula1>"Ya,Tidak"</formula1>
    </dataValidation>
    <dataValidation allowBlank="1" type="list" errorStyle="stop" sqref="E106:Y106">
      <formula1>"Ya,Tidak"</formula1>
    </dataValidation>
    <dataValidation allowBlank="1" type="list" errorStyle="stop" sqref="E96:Y96">
      <formula1>"Ya,Tidak"</formula1>
    </dataValidation>
    <dataValidation allowBlank="1" type="list" errorStyle="stop" sqref="E70:Y70">
      <formula1>"Ya,Tidak"</formula1>
    </dataValidation>
    <dataValidation allowBlank="1" type="list" errorStyle="stop" sqref="E84:Y84">
      <formula1>"Ya,Tidak"</formula1>
    </dataValidation>
    <dataValidation allowBlank="1" type="list" errorStyle="stop" sqref="E60:Y60">
      <formula1>"Ya,Tidak"</formula1>
    </dataValidation>
    <dataValidation allowBlank="1" type="list" errorStyle="stop" sqref="E79:Y79">
      <formula1>"Ya,Tidak"</formula1>
    </dataValidation>
    <dataValidation allowBlank="1" type="list" errorStyle="stop" sqref="E42:Y42">
      <formula1>"Ya,Tidak"</formula1>
    </dataValidation>
    <dataValidation allowBlank="1" type="list" errorStyle="stop" sqref="E67:Y67">
      <formula1>"Ya,Tidak"</formula1>
    </dataValidation>
    <dataValidation allowBlank="1" type="list" errorStyle="stop" sqref="E76:Y76">
      <formula1>"Ya,Tidak"</formula1>
    </dataValidation>
    <dataValidation allowBlank="1" type="list" errorStyle="stop" sqref="E99:Y99">
      <formula1>"Ya,Tidak"</formula1>
    </dataValidation>
    <dataValidation allowBlank="1" type="list" errorStyle="stop" sqref="E8:Y8">
      <formula1>"Ya,Tidak"</formula1>
    </dataValidation>
    <dataValidation allowBlank="1" type="list" errorStyle="stop" sqref="E26:Y26">
      <formula1>"Ya,Tidak"</formula1>
    </dataValidation>
    <dataValidation allowBlank="1" type="list" errorStyle="stop" sqref="E73:Y73">
      <formula1>"Ya,Tidak"</formula1>
    </dataValidation>
    <dataValidation allowBlank="1" type="list" errorStyle="stop" sqref="E86:Y86">
      <formula1>"Ya,Tidak"</formula1>
    </dataValidation>
    <dataValidation allowBlank="1" type="list" errorStyle="stop" sqref="E7:Y7">
      <formula1>"Ya,Tidak"</formula1>
    </dataValidation>
    <dataValidation allowBlank="1" type="list" errorStyle="stop" sqref="E19:Y19">
      <formula1>"Ya,Tidak"</formula1>
    </dataValidation>
    <dataValidation allowBlank="1" type="list" errorStyle="stop" sqref="E16:Y16">
      <formula1>"Ya,Tidak"</formula1>
    </dataValidation>
    <dataValidation allowBlank="1" type="list" errorStyle="stop" sqref="E13:Y13">
      <formula1>"Ya,Tidak"</formula1>
    </dataValidation>
    <dataValidation allowBlank="1" type="list" errorStyle="stop" sqref="E41:Y41">
      <formula1>"Ya,Tidak"</formula1>
    </dataValidation>
    <dataValidation allowBlank="1" type="list" errorStyle="stop" sqref="E56:Y56">
      <formula1>"Ya,Tidak"</formula1>
    </dataValidation>
    <dataValidation allowBlank="1" type="list" errorStyle="stop" sqref="E53:Y53">
      <formula1>"Ya,Tidak"</formula1>
    </dataValidation>
    <dataValidation allowBlank="1" type="list" errorStyle="stop" sqref="E48:Y48">
      <formula1>"Ya,Tidak"</formula1>
    </dataValidation>
    <dataValidation allowBlank="1" type="list" errorStyle="stop" sqref="E46:Y46">
      <formula1>"Ya,Tidak"</formula1>
    </dataValidation>
    <dataValidation allowBlank="1" type="list" errorStyle="stop" sqref="E50:Y50">
      <formula1>"Ya,Tidak"</formula1>
    </dataValidation>
    <dataValidation allowBlank="1" type="list" errorStyle="stop" sqref="E55:Y55">
      <formula1>"Ya,Tidak"</formula1>
    </dataValidation>
    <dataValidation allowBlank="1" type="list" errorStyle="stop" sqref="E39:Y39">
      <formula1>"Ya,Tidak"</formula1>
    </dataValidation>
    <dataValidation allowBlank="1" type="list" errorStyle="stop" sqref="E54:Y54">
      <formula1>"Ya,Tidak"</formula1>
    </dataValidation>
    <dataValidation allowBlank="1" type="list" errorStyle="stop" sqref="E36:Y36">
      <formula1>"Ya,Tidak"</formula1>
    </dataValidation>
    <dataValidation allowBlank="1" type="list" errorStyle="stop" sqref="E52:Y52">
      <formula1>"Ya,Tidak"</formula1>
    </dataValidation>
    <dataValidation allowBlank="1" type="list" errorStyle="stop" sqref="E21:Y21">
      <formula1>"Ya,Tidak"</formula1>
    </dataValidation>
    <dataValidation allowBlank="1" type="list" errorStyle="stop" sqref="E40:Y40">
      <formula1>"Ya,Tidak"</formula1>
    </dataValidation>
    <dataValidation allowBlank="1" type="list" errorStyle="stop" sqref="E38:Y38">
      <formula1>"Ya,Tidak"</formula1>
    </dataValidation>
    <dataValidation allowBlank="1" type="list" errorStyle="stop" sqref="E32:Y32">
      <formula1>"Ya,Tidak"</formula1>
    </dataValidation>
    <dataValidation allowBlank="1" type="list" errorStyle="stop" sqref="E15:Y15">
      <formula1>"Ya,Tidak"</formula1>
    </dataValidation>
    <dataValidation allowBlank="1" type="list" errorStyle="stop" sqref="E30:Y30">
      <formula1>"Ya,Tidak"</formula1>
    </dataValidation>
    <dataValidation allowBlank="1" type="list" errorStyle="stop" sqref="E34:Y34">
      <formula1>"Ya,Tidak"</formula1>
    </dataValidation>
    <dataValidation allowBlank="1" type="list" errorStyle="stop" sqref="E49:Y49">
      <formula1>"Ya,Tidak"</formula1>
    </dataValidation>
  </dataValidations>
  <pageMargins left="0.75" right="0.75" top="1.0" bottom="1.0" header="0.5" footer="0.5"/>
</worksheet>
</file>

<file path=xl/worksheets/sheet9.xml><?xml version="1.0" encoding="utf-8"?>
<worksheet xmlns:r="http://schemas.openxmlformats.org/officeDocument/2006/relationships" xmlns="http://schemas.openxmlformats.org/spreadsheetml/2006/main">
  <dimension ref="A1:AA142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62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8.0" customHeight="1">
      <c r="A1" s="1" t="s">
        <v>488</v>
      </c>
    </row>
    <row r="2" spans="8:8">
      <c r="A2" s="2" t="s">
        <v>30</v>
      </c>
    </row>
    <row r="3" spans="8:8" ht="30.0" customHeight="1">
      <c r="A3" s="6" t="s">
        <v>31</v>
      </c>
      <c r="B3" s="6" t="s">
        <v>23</v>
      </c>
      <c r="C3" s="6" t="s">
        <v>32</v>
      </c>
      <c r="D3" s="6" t="s">
        <v>33</v>
      </c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0.0" customHeight="1">
      <c r="A4" s="18" t="s">
        <v>489</v>
      </c>
    </row>
    <row r="5" spans="8:8" ht="40.0" customHeight="1">
      <c r="A5" s="28"/>
      <c r="B5" s="29" t="s">
        <v>490</v>
      </c>
      <c r="C5" s="30" t="s">
        <v>491</v>
      </c>
      <c r="D5" s="29">
        <v>5.0</v>
      </c>
      <c r="E5" s="31" t="str">
        <f>IF(COUNTA(E6:E10)=0,"",COUNTIF(E6:E10,"Ya")/5*100)</f>
        <v/>
      </c>
      <c r="F5" s="31" t="str">
        <f>IF(COUNTA(F6:F10)=0,"",COUNTIF(F6:F10,"Ya")/5*100)</f>
        <v/>
      </c>
      <c r="G5" s="31" t="str">
        <f>IF(COUNTA(G6:G10)=0,"",COUNTIF(G6:G10,"Ya")/5*100)</f>
        <v/>
      </c>
      <c r="H5" s="31" t="str">
        <f>IF(COUNTA(H6:H10)=0,"",COUNTIF(H6:H10,"Ya")/5*100)</f>
        <v/>
      </c>
      <c r="I5" s="31" t="str">
        <f>IF(COUNTA(I6:I10)=0,"",COUNTIF(I6:I10,"Ya")/5*100)</f>
        <v/>
      </c>
      <c r="J5" s="31" t="str">
        <f>IF(COUNTA(J6:J10)=0,"",COUNTIF(J6:J10,"Ya")/5*100)</f>
        <v/>
      </c>
      <c r="K5" s="31" t="str">
        <f>IF(COUNTA(K6:K10)=0,"",COUNTIF(K6:K10,"Ya")/5*100)</f>
        <v/>
      </c>
      <c r="L5" s="31" t="str">
        <f>IF(COUNTA(L6:L10)=0,"",COUNTIF(L6:L10,"Ya")/5*100)</f>
        <v/>
      </c>
      <c r="M5" s="31" t="str">
        <f>IF(COUNTA(M6:M10)=0,"",COUNTIF(M6:M10,"Ya")/5*100)</f>
        <v/>
      </c>
      <c r="N5" s="31" t="str">
        <f>IF(COUNTA(N6:N10)=0,"",COUNTIF(N6:N10,"Ya")/5*100)</f>
        <v/>
      </c>
      <c r="O5" s="31" t="str">
        <f>IF(COUNTA(O6:O10)=0,"",COUNTIF(O6:O10,"Ya")/5*100)</f>
        <v/>
      </c>
      <c r="P5" s="31" t="str">
        <f>IF(COUNTA(P6:P10)=0,"",COUNTIF(P6:P10,"Ya")/5*100)</f>
        <v/>
      </c>
      <c r="Q5" s="31" t="str">
        <f>IF(COUNTA(Q6:Q10)=0,"",COUNTIF(Q6:Q10,"Ya")/5*100)</f>
        <v/>
      </c>
      <c r="R5" s="31" t="str">
        <f>IF(COUNTA(R6:R10)=0,"",COUNTIF(R6:R10,"Ya")/5*100)</f>
        <v/>
      </c>
      <c r="S5" s="31" t="str">
        <f>IF(COUNTA(S6:S10)=0,"",COUNTIF(S6:S10,"Ya")/5*100)</f>
        <v/>
      </c>
      <c r="T5" s="31" t="str">
        <f>IF(COUNTA(T6:T10)=0,"",COUNTIF(T6:T10,"Ya")/5*100)</f>
        <v/>
      </c>
      <c r="U5" s="31" t="str">
        <f>IF(COUNTA(U6:U10)=0,"",COUNTIF(U6:U10,"Ya")/5*100)</f>
        <v/>
      </c>
      <c r="V5" s="31" t="str">
        <f>IF(COUNTA(V6:V10)=0,"",COUNTIF(V6:V10,"Ya")/5*100)</f>
        <v/>
      </c>
      <c r="W5" s="31" t="str">
        <f>IF(COUNTA(W6:W10)=0,"",COUNTIF(W6:W10,"Ya")/5*100)</f>
        <v/>
      </c>
      <c r="X5" s="31" t="str">
        <f>IF(COUNTA(X6:X10)=0,"",COUNTIF(X6:X10,"Ya")/5*100)</f>
        <v/>
      </c>
      <c r="Y5" s="31" t="str">
        <f>IF(COUNTA(Y6:Y10)=0,"",COUNTIF(Y6:Y10,"Ya")/5*100)</f>
        <v/>
      </c>
      <c r="Z5" s="31" t="str">
        <f>_xlfn.IFERROR(AVERAGE(E5:Y5),"")</f>
        <v/>
      </c>
    </row>
    <row r="6" spans="8:8" ht="25.0" customHeight="1">
      <c r="A6" s="32"/>
      <c r="B6" s="33" t="s">
        <v>492</v>
      </c>
      <c r="C6" s="34" t="s">
        <v>493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8:8" ht="25.0" customHeight="1">
      <c r="A7" s="32"/>
      <c r="B7" s="33" t="s">
        <v>494</v>
      </c>
      <c r="C7" s="34" t="s">
        <v>495</v>
      </c>
      <c r="D7" s="3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8:8" ht="25.0" customHeight="1">
      <c r="A8" s="32"/>
      <c r="B8" s="33" t="s">
        <v>496</v>
      </c>
      <c r="C8" s="34" t="s">
        <v>497</v>
      </c>
      <c r="D8" s="32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8:8" ht="25.0" customHeight="1">
      <c r="A9" s="32"/>
      <c r="B9" s="33" t="s">
        <v>498</v>
      </c>
      <c r="C9" s="34" t="s">
        <v>499</v>
      </c>
      <c r="D9" s="32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8:8" ht="25.0" customHeight="1">
      <c r="A10" s="32"/>
      <c r="B10" s="33" t="s">
        <v>500</v>
      </c>
      <c r="C10" s="34" t="s">
        <v>501</v>
      </c>
      <c r="D10" s="32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8:8" ht="40.0" customHeight="1">
      <c r="A11" s="28"/>
      <c r="B11" s="29" t="s">
        <v>502</v>
      </c>
      <c r="C11" s="30" t="s">
        <v>503</v>
      </c>
      <c r="D11" s="29">
        <v>5.0</v>
      </c>
      <c r="E11" s="31" t="str">
        <f>IF(COUNTA(E12:E16)=0,"",COUNTIF(E12:E16,"Ya")/5*100)</f>
        <v/>
      </c>
      <c r="F11" s="31" t="str">
        <f>IF(COUNTA(F12:F16)=0,"",COUNTIF(F12:F16,"Ya")/5*100)</f>
        <v/>
      </c>
      <c r="G11" s="31" t="str">
        <f>IF(COUNTA(G12:G16)=0,"",COUNTIF(G12:G16,"Ya")/5*100)</f>
        <v/>
      </c>
      <c r="H11" s="31" t="str">
        <f>IF(COUNTA(H12:H16)=0,"",COUNTIF(H12:H16,"Ya")/5*100)</f>
        <v/>
      </c>
      <c r="I11" s="31" t="str">
        <f>IF(COUNTA(I12:I16)=0,"",COUNTIF(I12:I16,"Ya")/5*100)</f>
        <v/>
      </c>
      <c r="J11" s="31" t="str">
        <f>IF(COUNTA(J12:J16)=0,"",COUNTIF(J12:J16,"Ya")/5*100)</f>
        <v/>
      </c>
      <c r="K11" s="31" t="str">
        <f>IF(COUNTA(K12:K16)=0,"",COUNTIF(K12:K16,"Ya")/5*100)</f>
        <v/>
      </c>
      <c r="L11" s="31" t="str">
        <f>IF(COUNTA(L12:L16)=0,"",COUNTIF(L12:L16,"Ya")/5*100)</f>
        <v/>
      </c>
      <c r="M11" s="31" t="str">
        <f>IF(COUNTA(M12:M16)=0,"",COUNTIF(M12:M16,"Ya")/5*100)</f>
        <v/>
      </c>
      <c r="N11" s="31" t="str">
        <f>IF(COUNTA(N12:N16)=0,"",COUNTIF(N12:N16,"Ya")/5*100)</f>
        <v/>
      </c>
      <c r="O11" s="31" t="str">
        <f>IF(COUNTA(O12:O16)=0,"",COUNTIF(O12:O16,"Ya")/5*100)</f>
        <v/>
      </c>
      <c r="P11" s="31" t="str">
        <f>IF(COUNTA(P12:P16)=0,"",COUNTIF(P12:P16,"Ya")/5*100)</f>
        <v/>
      </c>
      <c r="Q11" s="31" t="str">
        <f>IF(COUNTA(Q12:Q16)=0,"",COUNTIF(Q12:Q16,"Ya")/5*100)</f>
        <v/>
      </c>
      <c r="R11" s="31" t="str">
        <f>IF(COUNTA(R12:R16)=0,"",COUNTIF(R12:R16,"Ya")/5*100)</f>
        <v/>
      </c>
      <c r="S11" s="31" t="str">
        <f>IF(COUNTA(S12:S16)=0,"",COUNTIF(S12:S16,"Ya")/5*100)</f>
        <v/>
      </c>
      <c r="T11" s="31" t="str">
        <f>IF(COUNTA(T12:T16)=0,"",COUNTIF(T12:T16,"Ya")/5*100)</f>
        <v/>
      </c>
      <c r="U11" s="31" t="str">
        <f>IF(COUNTA(U12:U16)=0,"",COUNTIF(U12:U16,"Ya")/5*100)</f>
        <v/>
      </c>
      <c r="V11" s="31" t="str">
        <f>IF(COUNTA(V12:V16)=0,"",COUNTIF(V12:V16,"Ya")/5*100)</f>
        <v/>
      </c>
      <c r="W11" s="31" t="str">
        <f>IF(COUNTA(W12:W16)=0,"",COUNTIF(W12:W16,"Ya")/5*100)</f>
        <v/>
      </c>
      <c r="X11" s="31" t="str">
        <f>IF(COUNTA(X12:X16)=0,"",COUNTIF(X12:X16,"Ya")/5*100)</f>
        <v/>
      </c>
      <c r="Y11" s="31" t="str">
        <f>IF(COUNTA(Y12:Y16)=0,"",COUNTIF(Y12:Y16,"Ya")/5*100)</f>
        <v/>
      </c>
      <c r="Z11" s="31" t="str">
        <f>_xlfn.IFERROR(AVERAGE(E11:Y11),"")</f>
        <v/>
      </c>
    </row>
    <row r="12" spans="8:8" ht="25.0" customHeight="1">
      <c r="A12" s="32"/>
      <c r="B12" s="33" t="s">
        <v>504</v>
      </c>
      <c r="C12" s="34" t="s">
        <v>505</v>
      </c>
      <c r="D12" s="32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8:8" ht="25.0" customHeight="1">
      <c r="A13" s="32"/>
      <c r="B13" s="33" t="s">
        <v>506</v>
      </c>
      <c r="C13" s="34" t="s">
        <v>507</v>
      </c>
      <c r="D13" s="32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8:8" ht="25.0" customHeight="1">
      <c r="A14" s="32"/>
      <c r="B14" s="33" t="s">
        <v>508</v>
      </c>
      <c r="C14" s="34" t="s">
        <v>509</v>
      </c>
      <c r="D14" s="32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8:8" ht="25.0" customHeight="1">
      <c r="A15" s="32"/>
      <c r="B15" s="33" t="s">
        <v>510</v>
      </c>
      <c r="C15" s="34" t="s">
        <v>511</v>
      </c>
      <c r="D15" s="32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8:8" ht="25.0" customHeight="1">
      <c r="A16" s="32"/>
      <c r="B16" s="33" t="s">
        <v>512</v>
      </c>
      <c r="C16" s="34" t="s">
        <v>513</v>
      </c>
      <c r="D16" s="32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8:8" ht="40.0" customHeight="1">
      <c r="A17" s="28"/>
      <c r="B17" s="29" t="s">
        <v>514</v>
      </c>
      <c r="C17" s="30" t="s">
        <v>515</v>
      </c>
      <c r="D17" s="29">
        <v>5.0</v>
      </c>
      <c r="E17" s="31" t="str">
        <f>IF(COUNTA(E18:E22)=0,"",COUNTIF(E18:E22,"Ya")/5*100)</f>
        <v/>
      </c>
      <c r="F17" s="31" t="str">
        <f>IF(COUNTA(F18:F22)=0,"",COUNTIF(F18:F22,"Ya")/5*100)</f>
        <v/>
      </c>
      <c r="G17" s="31" t="str">
        <f>IF(COUNTA(G18:G22)=0,"",COUNTIF(G18:G22,"Ya")/5*100)</f>
        <v/>
      </c>
      <c r="H17" s="31" t="str">
        <f>IF(COUNTA(H18:H22)=0,"",COUNTIF(H18:H22,"Ya")/5*100)</f>
        <v/>
      </c>
      <c r="I17" s="31" t="str">
        <f>IF(COUNTA(I18:I22)=0,"",COUNTIF(I18:I22,"Ya")/5*100)</f>
        <v/>
      </c>
      <c r="J17" s="31" t="str">
        <f>IF(COUNTA(J18:J22)=0,"",COUNTIF(J18:J22,"Ya")/5*100)</f>
        <v/>
      </c>
      <c r="K17" s="31" t="str">
        <f>IF(COUNTA(K18:K22)=0,"",COUNTIF(K18:K22,"Ya")/5*100)</f>
        <v/>
      </c>
      <c r="L17" s="31" t="str">
        <f>IF(COUNTA(L18:L22)=0,"",COUNTIF(L18:L22,"Ya")/5*100)</f>
        <v/>
      </c>
      <c r="M17" s="31" t="str">
        <f>IF(COUNTA(M18:M22)=0,"",COUNTIF(M18:M22,"Ya")/5*100)</f>
        <v/>
      </c>
      <c r="N17" s="31" t="str">
        <f>IF(COUNTA(N18:N22)=0,"",COUNTIF(N18:N22,"Ya")/5*100)</f>
        <v/>
      </c>
      <c r="O17" s="31" t="str">
        <f>IF(COUNTA(O18:O22)=0,"",COUNTIF(O18:O22,"Ya")/5*100)</f>
        <v/>
      </c>
      <c r="P17" s="31" t="str">
        <f>IF(COUNTA(P18:P22)=0,"",COUNTIF(P18:P22,"Ya")/5*100)</f>
        <v/>
      </c>
      <c r="Q17" s="31" t="str">
        <f>IF(COUNTA(Q18:Q22)=0,"",COUNTIF(Q18:Q22,"Ya")/5*100)</f>
        <v/>
      </c>
      <c r="R17" s="31" t="str">
        <f>IF(COUNTA(R18:R22)=0,"",COUNTIF(R18:R22,"Ya")/5*100)</f>
        <v/>
      </c>
      <c r="S17" s="31" t="str">
        <f>IF(COUNTA(S18:S22)=0,"",COUNTIF(S18:S22,"Ya")/5*100)</f>
        <v/>
      </c>
      <c r="T17" s="31" t="str">
        <f>IF(COUNTA(T18:T22)=0,"",COUNTIF(T18:T22,"Ya")/5*100)</f>
        <v/>
      </c>
      <c r="U17" s="31" t="str">
        <f>IF(COUNTA(U18:U22)=0,"",COUNTIF(U18:U22,"Ya")/5*100)</f>
        <v/>
      </c>
      <c r="V17" s="31" t="str">
        <f>IF(COUNTA(V18:V22)=0,"",COUNTIF(V18:V22,"Ya")/5*100)</f>
        <v/>
      </c>
      <c r="W17" s="31" t="str">
        <f>IF(COUNTA(W18:W22)=0,"",COUNTIF(W18:W22,"Ya")/5*100)</f>
        <v/>
      </c>
      <c r="X17" s="31" t="str">
        <f>IF(COUNTA(X18:X22)=0,"",COUNTIF(X18:X22,"Ya")/5*100)</f>
        <v/>
      </c>
      <c r="Y17" s="31" t="str">
        <f>IF(COUNTA(Y18:Y22)=0,"",COUNTIF(Y18:Y22,"Ya")/5*100)</f>
        <v/>
      </c>
      <c r="Z17" s="31" t="str">
        <f>_xlfn.IFERROR(AVERAGE(E17:Y17),"")</f>
        <v/>
      </c>
    </row>
    <row r="18" spans="8:8" ht="25.0" customHeight="1">
      <c r="A18" s="32"/>
      <c r="B18" s="33" t="s">
        <v>516</v>
      </c>
      <c r="C18" s="34" t="s">
        <v>517</v>
      </c>
      <c r="D18" s="32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8:8" ht="25.0" customHeight="1">
      <c r="A19" s="32"/>
      <c r="B19" s="33" t="s">
        <v>518</v>
      </c>
      <c r="C19" s="34" t="s">
        <v>519</v>
      </c>
      <c r="D19" s="32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8:8" ht="25.0" customHeight="1">
      <c r="A20" s="32"/>
      <c r="B20" s="33" t="s">
        <v>520</v>
      </c>
      <c r="C20" s="34" t="s">
        <v>521</v>
      </c>
      <c r="D20" s="32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8:8" ht="25.0" customHeight="1">
      <c r="A21" s="32"/>
      <c r="B21" s="33" t="s">
        <v>522</v>
      </c>
      <c r="C21" s="34" t="s">
        <v>523</v>
      </c>
      <c r="D21" s="32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8:8" ht="25.0" customHeight="1">
      <c r="A22" s="32"/>
      <c r="B22" s="33" t="s">
        <v>524</v>
      </c>
      <c r="C22" s="34" t="s">
        <v>525</v>
      </c>
      <c r="D22" s="32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8:8" ht="28.0" customHeight="1">
      <c r="A23" s="28"/>
      <c r="B23" s="29" t="s">
        <v>526</v>
      </c>
      <c r="C23" s="30" t="s">
        <v>527</v>
      </c>
      <c r="D23" s="29">
        <v>5.0</v>
      </c>
      <c r="E23" s="31" t="str">
        <f>IF(COUNTA(E24:E28)=0,"",COUNTIF(E24:E28,"Ya")/5*100)</f>
        <v/>
      </c>
      <c r="F23" s="31" t="str">
        <f>IF(COUNTA(F24:F28)=0,"",COUNTIF(F24:F28,"Ya")/5*100)</f>
        <v/>
      </c>
      <c r="G23" s="31" t="str">
        <f>IF(COUNTA(G24:G28)=0,"",COUNTIF(G24:G28,"Ya")/5*100)</f>
        <v/>
      </c>
      <c r="H23" s="31" t="str">
        <f>IF(COUNTA(H24:H28)=0,"",COUNTIF(H24:H28,"Ya")/5*100)</f>
        <v/>
      </c>
      <c r="I23" s="31" t="str">
        <f>IF(COUNTA(I24:I28)=0,"",COUNTIF(I24:I28,"Ya")/5*100)</f>
        <v/>
      </c>
      <c r="J23" s="31" t="str">
        <f>IF(COUNTA(J24:J28)=0,"",COUNTIF(J24:J28,"Ya")/5*100)</f>
        <v/>
      </c>
      <c r="K23" s="31" t="str">
        <f>IF(COUNTA(K24:K28)=0,"",COUNTIF(K24:K28,"Ya")/5*100)</f>
        <v/>
      </c>
      <c r="L23" s="31" t="str">
        <f>IF(COUNTA(L24:L28)=0,"",COUNTIF(L24:L28,"Ya")/5*100)</f>
        <v/>
      </c>
      <c r="M23" s="31" t="str">
        <f>IF(COUNTA(M24:M28)=0,"",COUNTIF(M24:M28,"Ya")/5*100)</f>
        <v/>
      </c>
      <c r="N23" s="31" t="str">
        <f>IF(COUNTA(N24:N28)=0,"",COUNTIF(N24:N28,"Ya")/5*100)</f>
        <v/>
      </c>
      <c r="O23" s="31" t="str">
        <f>IF(COUNTA(O24:O28)=0,"",COUNTIF(O24:O28,"Ya")/5*100)</f>
        <v/>
      </c>
      <c r="P23" s="31" t="str">
        <f>IF(COUNTA(P24:P28)=0,"",COUNTIF(P24:P28,"Ya")/5*100)</f>
        <v/>
      </c>
      <c r="Q23" s="31" t="str">
        <f>IF(COUNTA(Q24:Q28)=0,"",COUNTIF(Q24:Q28,"Ya")/5*100)</f>
        <v/>
      </c>
      <c r="R23" s="31" t="str">
        <f>IF(COUNTA(R24:R28)=0,"",COUNTIF(R24:R28,"Ya")/5*100)</f>
        <v/>
      </c>
      <c r="S23" s="31" t="str">
        <f>IF(COUNTA(S24:S28)=0,"",COUNTIF(S24:S28,"Ya")/5*100)</f>
        <v/>
      </c>
      <c r="T23" s="31" t="str">
        <f>IF(COUNTA(T24:T28)=0,"",COUNTIF(T24:T28,"Ya")/5*100)</f>
        <v/>
      </c>
      <c r="U23" s="31" t="str">
        <f>IF(COUNTA(U24:U28)=0,"",COUNTIF(U24:U28,"Ya")/5*100)</f>
        <v/>
      </c>
      <c r="V23" s="31" t="str">
        <f>IF(COUNTA(V24:V28)=0,"",COUNTIF(V24:V28,"Ya")/5*100)</f>
        <v/>
      </c>
      <c r="W23" s="31" t="str">
        <f>IF(COUNTA(W24:W28)=0,"",COUNTIF(W24:W28,"Ya")/5*100)</f>
        <v/>
      </c>
      <c r="X23" s="31" t="str">
        <f>IF(COUNTA(X24:X28)=0,"",COUNTIF(X24:X28,"Ya")/5*100)</f>
        <v/>
      </c>
      <c r="Y23" s="31" t="str">
        <f>IF(COUNTA(Y24:Y28)=0,"",COUNTIF(Y24:Y28,"Ya")/5*100)</f>
        <v/>
      </c>
      <c r="Z23" s="31" t="str">
        <f>_xlfn.IFERROR(AVERAGE(E23:Y23),"")</f>
        <v/>
      </c>
    </row>
    <row r="24" spans="8:8" ht="25.0" customHeight="1">
      <c r="A24" s="32"/>
      <c r="B24" s="33" t="s">
        <v>528</v>
      </c>
      <c r="C24" s="34" t="s">
        <v>529</v>
      </c>
      <c r="D24" s="32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8:8" ht="25.0" customHeight="1">
      <c r="A25" s="32"/>
      <c r="B25" s="33" t="s">
        <v>530</v>
      </c>
      <c r="C25" s="34" t="s">
        <v>531</v>
      </c>
      <c r="D25" s="32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8:8" ht="25.0" customHeight="1">
      <c r="A26" s="32"/>
      <c r="B26" s="33" t="s">
        <v>532</v>
      </c>
      <c r="C26" s="34" t="s">
        <v>533</v>
      </c>
      <c r="D26" s="32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8:8" ht="25.0" customHeight="1">
      <c r="A27" s="32"/>
      <c r="B27" s="33" t="s">
        <v>534</v>
      </c>
      <c r="C27" s="34" t="s">
        <v>535</v>
      </c>
      <c r="D27" s="32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8:8" ht="25.0" customHeight="1">
      <c r="A28" s="32"/>
      <c r="B28" s="33" t="s">
        <v>536</v>
      </c>
      <c r="C28" s="34" t="s">
        <v>537</v>
      </c>
      <c r="D28" s="32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8:8" ht="18.0" customHeight="1">
      <c r="A29" s="36"/>
      <c r="B29" s="36"/>
      <c r="C29" s="37" t="s">
        <v>538</v>
      </c>
      <c r="D29" s="38">
        <v>20.0</v>
      </c>
      <c r="E29" s="39" t="str">
        <f>IF((IF(ISNUMBER(E5),5,0)+IF(ISNUMBER(E11),5,0)+IF(ISNUMBER(E17),5,0)+IF(ISNUMBER(E23),5,0))=0,"",(IF(ISNUMBER(E5),E5*5,0)+IF(ISNUMBER(E11),E11*5,0)+IF(ISNUMBER(E17),E17*5,0)+IF(ISNUMBER(E23),E23*5,0))/(IF(ISNUMBER(E5),5,0)+IF(ISNUMBER(E11),5,0)+IF(ISNUMBER(E17),5,0)+IF(ISNUMBER(E23),5,0)))</f>
        <v/>
      </c>
      <c r="F29" s="39" t="str">
        <f>IF((IF(ISNUMBER(F5),5,0)+IF(ISNUMBER(F11),5,0)+IF(ISNUMBER(F17),5,0)+IF(ISNUMBER(F23),5,0))=0,"",(IF(ISNUMBER(F5),F5*5,0)+IF(ISNUMBER(F11),F11*5,0)+IF(ISNUMBER(F17),F17*5,0)+IF(ISNUMBER(F23),F23*5,0))/(IF(ISNUMBER(F5),5,0)+IF(ISNUMBER(F11),5,0)+IF(ISNUMBER(F17),5,0)+IF(ISNUMBER(F23),5,0)))</f>
        <v/>
      </c>
      <c r="G29" s="39" t="str">
        <f>IF((IF(ISNUMBER(G5),5,0)+IF(ISNUMBER(G11),5,0)+IF(ISNUMBER(G17),5,0)+IF(ISNUMBER(G23),5,0))=0,"",(IF(ISNUMBER(G5),G5*5,0)+IF(ISNUMBER(G11),G11*5,0)+IF(ISNUMBER(G17),G17*5,0)+IF(ISNUMBER(G23),G23*5,0))/(IF(ISNUMBER(G5),5,0)+IF(ISNUMBER(G11),5,0)+IF(ISNUMBER(G17),5,0)+IF(ISNUMBER(G23),5,0)))</f>
        <v/>
      </c>
      <c r="H29" s="39" t="str">
        <f>IF((IF(ISNUMBER(H5),5,0)+IF(ISNUMBER(H11),5,0)+IF(ISNUMBER(H17),5,0)+IF(ISNUMBER(H23),5,0))=0,"",(IF(ISNUMBER(H5),H5*5,0)+IF(ISNUMBER(H11),H11*5,0)+IF(ISNUMBER(H17),H17*5,0)+IF(ISNUMBER(H23),H23*5,0))/(IF(ISNUMBER(H5),5,0)+IF(ISNUMBER(H11),5,0)+IF(ISNUMBER(H17),5,0)+IF(ISNUMBER(H23),5,0)))</f>
        <v/>
      </c>
      <c r="I29" s="39" t="str">
        <f>IF((IF(ISNUMBER(I5),5,0)+IF(ISNUMBER(I11),5,0)+IF(ISNUMBER(I17),5,0)+IF(ISNUMBER(I23),5,0))=0,"",(IF(ISNUMBER(I5),I5*5,0)+IF(ISNUMBER(I11),I11*5,0)+IF(ISNUMBER(I17),I17*5,0)+IF(ISNUMBER(I23),I23*5,0))/(IF(ISNUMBER(I5),5,0)+IF(ISNUMBER(I11),5,0)+IF(ISNUMBER(I17),5,0)+IF(ISNUMBER(I23),5,0)))</f>
        <v/>
      </c>
      <c r="J29" s="39" t="str">
        <f>IF((IF(ISNUMBER(J5),5,0)+IF(ISNUMBER(J11),5,0)+IF(ISNUMBER(J17),5,0)+IF(ISNUMBER(J23),5,0))=0,"",(IF(ISNUMBER(J5),J5*5,0)+IF(ISNUMBER(J11),J11*5,0)+IF(ISNUMBER(J17),J17*5,0)+IF(ISNUMBER(J23),J23*5,0))/(IF(ISNUMBER(J5),5,0)+IF(ISNUMBER(J11),5,0)+IF(ISNUMBER(J17),5,0)+IF(ISNUMBER(J23),5,0)))</f>
        <v/>
      </c>
      <c r="K29" s="39" t="str">
        <f>IF((IF(ISNUMBER(K5),5,0)+IF(ISNUMBER(K11),5,0)+IF(ISNUMBER(K17),5,0)+IF(ISNUMBER(K23),5,0))=0,"",(IF(ISNUMBER(K5),K5*5,0)+IF(ISNUMBER(K11),K11*5,0)+IF(ISNUMBER(K17),K17*5,0)+IF(ISNUMBER(K23),K23*5,0))/(IF(ISNUMBER(K5),5,0)+IF(ISNUMBER(K11),5,0)+IF(ISNUMBER(K17),5,0)+IF(ISNUMBER(K23),5,0)))</f>
        <v/>
      </c>
      <c r="L29" s="39" t="str">
        <f>IF((IF(ISNUMBER(L5),5,0)+IF(ISNUMBER(L11),5,0)+IF(ISNUMBER(L17),5,0)+IF(ISNUMBER(L23),5,0))=0,"",(IF(ISNUMBER(L5),L5*5,0)+IF(ISNUMBER(L11),L11*5,0)+IF(ISNUMBER(L17),L17*5,0)+IF(ISNUMBER(L23),L23*5,0))/(IF(ISNUMBER(L5),5,0)+IF(ISNUMBER(L11),5,0)+IF(ISNUMBER(L17),5,0)+IF(ISNUMBER(L23),5,0)))</f>
        <v/>
      </c>
      <c r="M29" s="39" t="str">
        <f>IF((IF(ISNUMBER(M5),5,0)+IF(ISNUMBER(M11),5,0)+IF(ISNUMBER(M17),5,0)+IF(ISNUMBER(M23),5,0))=0,"",(IF(ISNUMBER(M5),M5*5,0)+IF(ISNUMBER(M11),M11*5,0)+IF(ISNUMBER(M17),M17*5,0)+IF(ISNUMBER(M23),M23*5,0))/(IF(ISNUMBER(M5),5,0)+IF(ISNUMBER(M11),5,0)+IF(ISNUMBER(M17),5,0)+IF(ISNUMBER(M23),5,0)))</f>
        <v/>
      </c>
      <c r="N29" s="39" t="str">
        <f>IF((IF(ISNUMBER(N5),5,0)+IF(ISNUMBER(N11),5,0)+IF(ISNUMBER(N17),5,0)+IF(ISNUMBER(N23),5,0))=0,"",(IF(ISNUMBER(N5),N5*5,0)+IF(ISNUMBER(N11),N11*5,0)+IF(ISNUMBER(N17),N17*5,0)+IF(ISNUMBER(N23),N23*5,0))/(IF(ISNUMBER(N5),5,0)+IF(ISNUMBER(N11),5,0)+IF(ISNUMBER(N17),5,0)+IF(ISNUMBER(N23),5,0)))</f>
        <v/>
      </c>
      <c r="O29" s="39" t="str">
        <f>IF((IF(ISNUMBER(O5),5,0)+IF(ISNUMBER(O11),5,0)+IF(ISNUMBER(O17),5,0)+IF(ISNUMBER(O23),5,0))=0,"",(IF(ISNUMBER(O5),O5*5,0)+IF(ISNUMBER(O11),O11*5,0)+IF(ISNUMBER(O17),O17*5,0)+IF(ISNUMBER(O23),O23*5,0))/(IF(ISNUMBER(O5),5,0)+IF(ISNUMBER(O11),5,0)+IF(ISNUMBER(O17),5,0)+IF(ISNUMBER(O23),5,0)))</f>
        <v/>
      </c>
      <c r="P29" s="39" t="str">
        <f>IF((IF(ISNUMBER(P5),5,0)+IF(ISNUMBER(P11),5,0)+IF(ISNUMBER(P17),5,0)+IF(ISNUMBER(P23),5,0))=0,"",(IF(ISNUMBER(P5),P5*5,0)+IF(ISNUMBER(P11),P11*5,0)+IF(ISNUMBER(P17),P17*5,0)+IF(ISNUMBER(P23),P23*5,0))/(IF(ISNUMBER(P5),5,0)+IF(ISNUMBER(P11),5,0)+IF(ISNUMBER(P17),5,0)+IF(ISNUMBER(P23),5,0)))</f>
        <v/>
      </c>
      <c r="Q29" s="39" t="str">
        <f>IF((IF(ISNUMBER(Q5),5,0)+IF(ISNUMBER(Q11),5,0)+IF(ISNUMBER(Q17),5,0)+IF(ISNUMBER(Q23),5,0))=0,"",(IF(ISNUMBER(Q5),Q5*5,0)+IF(ISNUMBER(Q11),Q11*5,0)+IF(ISNUMBER(Q17),Q17*5,0)+IF(ISNUMBER(Q23),Q23*5,0))/(IF(ISNUMBER(Q5),5,0)+IF(ISNUMBER(Q11),5,0)+IF(ISNUMBER(Q17),5,0)+IF(ISNUMBER(Q23),5,0)))</f>
        <v/>
      </c>
      <c r="R29" s="39" t="str">
        <f>IF((IF(ISNUMBER(R5),5,0)+IF(ISNUMBER(R11),5,0)+IF(ISNUMBER(R17),5,0)+IF(ISNUMBER(R23),5,0))=0,"",(IF(ISNUMBER(R5),R5*5,0)+IF(ISNUMBER(R11),R11*5,0)+IF(ISNUMBER(R17),R17*5,0)+IF(ISNUMBER(R23),R23*5,0))/(IF(ISNUMBER(R5),5,0)+IF(ISNUMBER(R11),5,0)+IF(ISNUMBER(R17),5,0)+IF(ISNUMBER(R23),5,0)))</f>
        <v/>
      </c>
      <c r="S29" s="39" t="str">
        <f>IF((IF(ISNUMBER(S5),5,0)+IF(ISNUMBER(S11),5,0)+IF(ISNUMBER(S17),5,0)+IF(ISNUMBER(S23),5,0))=0,"",(IF(ISNUMBER(S5),S5*5,0)+IF(ISNUMBER(S11),S11*5,0)+IF(ISNUMBER(S17),S17*5,0)+IF(ISNUMBER(S23),S23*5,0))/(IF(ISNUMBER(S5),5,0)+IF(ISNUMBER(S11),5,0)+IF(ISNUMBER(S17),5,0)+IF(ISNUMBER(S23),5,0)))</f>
        <v/>
      </c>
      <c r="T29" s="39" t="str">
        <f>IF((IF(ISNUMBER(T5),5,0)+IF(ISNUMBER(T11),5,0)+IF(ISNUMBER(T17),5,0)+IF(ISNUMBER(T23),5,0))=0,"",(IF(ISNUMBER(T5),T5*5,0)+IF(ISNUMBER(T11),T11*5,0)+IF(ISNUMBER(T17),T17*5,0)+IF(ISNUMBER(T23),T23*5,0))/(IF(ISNUMBER(T5),5,0)+IF(ISNUMBER(T11),5,0)+IF(ISNUMBER(T17),5,0)+IF(ISNUMBER(T23),5,0)))</f>
        <v/>
      </c>
      <c r="U29" s="39" t="str">
        <f>IF((IF(ISNUMBER(U5),5,0)+IF(ISNUMBER(U11),5,0)+IF(ISNUMBER(U17),5,0)+IF(ISNUMBER(U23),5,0))=0,"",(IF(ISNUMBER(U5),U5*5,0)+IF(ISNUMBER(U11),U11*5,0)+IF(ISNUMBER(U17),U17*5,0)+IF(ISNUMBER(U23),U23*5,0))/(IF(ISNUMBER(U5),5,0)+IF(ISNUMBER(U11),5,0)+IF(ISNUMBER(U17),5,0)+IF(ISNUMBER(U23),5,0)))</f>
        <v/>
      </c>
      <c r="V29" s="39" t="str">
        <f>IF((IF(ISNUMBER(V5),5,0)+IF(ISNUMBER(V11),5,0)+IF(ISNUMBER(V17),5,0)+IF(ISNUMBER(V23),5,0))=0,"",(IF(ISNUMBER(V5),V5*5,0)+IF(ISNUMBER(V11),V11*5,0)+IF(ISNUMBER(V17),V17*5,0)+IF(ISNUMBER(V23),V23*5,0))/(IF(ISNUMBER(V5),5,0)+IF(ISNUMBER(V11),5,0)+IF(ISNUMBER(V17),5,0)+IF(ISNUMBER(V23),5,0)))</f>
        <v/>
      </c>
      <c r="W29" s="39" t="str">
        <f>IF((IF(ISNUMBER(W5),5,0)+IF(ISNUMBER(W11),5,0)+IF(ISNUMBER(W17),5,0)+IF(ISNUMBER(W23),5,0))=0,"",(IF(ISNUMBER(W5),W5*5,0)+IF(ISNUMBER(W11),W11*5,0)+IF(ISNUMBER(W17),W17*5,0)+IF(ISNUMBER(W23),W23*5,0))/(IF(ISNUMBER(W5),5,0)+IF(ISNUMBER(W11),5,0)+IF(ISNUMBER(W17),5,0)+IF(ISNUMBER(W23),5,0)))</f>
        <v/>
      </c>
      <c r="X29" s="39" t="str">
        <f>IF((IF(ISNUMBER(X5),5,0)+IF(ISNUMBER(X11),5,0)+IF(ISNUMBER(X17),5,0)+IF(ISNUMBER(X23),5,0))=0,"",(IF(ISNUMBER(X5),X5*5,0)+IF(ISNUMBER(X11),X11*5,0)+IF(ISNUMBER(X17),X17*5,0)+IF(ISNUMBER(X23),X23*5,0))/(IF(ISNUMBER(X5),5,0)+IF(ISNUMBER(X11),5,0)+IF(ISNUMBER(X17),5,0)+IF(ISNUMBER(X23),5,0)))</f>
        <v/>
      </c>
      <c r="Y29" s="39" t="str">
        <f>IF((IF(ISNUMBER(Y5),5,0)+IF(ISNUMBER(Y11),5,0)+IF(ISNUMBER(Y17),5,0)+IF(ISNUMBER(Y23),5,0))=0,"",(IF(ISNUMBER(Y5),Y5*5,0)+IF(ISNUMBER(Y11),Y11*5,0)+IF(ISNUMBER(Y17),Y17*5,0)+IF(ISNUMBER(Y23),Y23*5,0))/(IF(ISNUMBER(Y5),5,0)+IF(ISNUMBER(Y11),5,0)+IF(ISNUMBER(Y17),5,0)+IF(ISNUMBER(Y23),5,0)))</f>
        <v/>
      </c>
      <c r="Z29" s="39" t="str">
        <f>_xlfn.IFERROR(AVERAGE(E29:Y29),"")</f>
        <v/>
      </c>
    </row>
    <row r="30" spans="8:8" ht="20.0" customHeight="1">
      <c r="A30" s="18" t="s">
        <v>539</v>
      </c>
    </row>
    <row r="31" spans="8:8" ht="28.0" customHeight="1">
      <c r="A31" s="28"/>
      <c r="B31" s="29" t="s">
        <v>540</v>
      </c>
      <c r="C31" s="30" t="s">
        <v>541</v>
      </c>
      <c r="D31" s="29">
        <v>5.0</v>
      </c>
      <c r="E31" s="31" t="str">
        <f>IF(COUNTA(E32:E36)=0,"",COUNTIF(E32:E36,"Ya")/5*100)</f>
        <v/>
      </c>
      <c r="F31" s="31" t="str">
        <f>IF(COUNTA(F32:F36)=0,"",COUNTIF(F32:F36,"Ya")/5*100)</f>
        <v/>
      </c>
      <c r="G31" s="31" t="str">
        <f>IF(COUNTA(G32:G36)=0,"",COUNTIF(G32:G36,"Ya")/5*100)</f>
        <v/>
      </c>
      <c r="H31" s="31" t="str">
        <f>IF(COUNTA(H32:H36)=0,"",COUNTIF(H32:H36,"Ya")/5*100)</f>
        <v/>
      </c>
      <c r="I31" s="31" t="str">
        <f>IF(COUNTA(I32:I36)=0,"",COUNTIF(I32:I36,"Ya")/5*100)</f>
        <v/>
      </c>
      <c r="J31" s="31" t="str">
        <f>IF(COUNTA(J32:J36)=0,"",COUNTIF(J32:J36,"Ya")/5*100)</f>
        <v/>
      </c>
      <c r="K31" s="31" t="str">
        <f>IF(COUNTA(K32:K36)=0,"",COUNTIF(K32:K36,"Ya")/5*100)</f>
        <v/>
      </c>
      <c r="L31" s="31" t="str">
        <f>IF(COUNTA(L32:L36)=0,"",COUNTIF(L32:L36,"Ya")/5*100)</f>
        <v/>
      </c>
      <c r="M31" s="31" t="str">
        <f>IF(COUNTA(M32:M36)=0,"",COUNTIF(M32:M36,"Ya")/5*100)</f>
        <v/>
      </c>
      <c r="N31" s="31" t="str">
        <f>IF(COUNTA(N32:N36)=0,"",COUNTIF(N32:N36,"Ya")/5*100)</f>
        <v/>
      </c>
      <c r="O31" s="31" t="str">
        <f>IF(COUNTA(O32:O36)=0,"",COUNTIF(O32:O36,"Ya")/5*100)</f>
        <v/>
      </c>
      <c r="P31" s="31" t="str">
        <f>IF(COUNTA(P32:P36)=0,"",COUNTIF(P32:P36,"Ya")/5*100)</f>
        <v/>
      </c>
      <c r="Q31" s="31" t="str">
        <f>IF(COUNTA(Q32:Q36)=0,"",COUNTIF(Q32:Q36,"Ya")/5*100)</f>
        <v/>
      </c>
      <c r="R31" s="31" t="str">
        <f>IF(COUNTA(R32:R36)=0,"",COUNTIF(R32:R36,"Ya")/5*100)</f>
        <v/>
      </c>
      <c r="S31" s="31" t="str">
        <f>IF(COUNTA(S32:S36)=0,"",COUNTIF(S32:S36,"Ya")/5*100)</f>
        <v/>
      </c>
      <c r="T31" s="31" t="str">
        <f>IF(COUNTA(T32:T36)=0,"",COUNTIF(T32:T36,"Ya")/5*100)</f>
        <v/>
      </c>
      <c r="U31" s="31" t="str">
        <f>IF(COUNTA(U32:U36)=0,"",COUNTIF(U32:U36,"Ya")/5*100)</f>
        <v/>
      </c>
      <c r="V31" s="31" t="str">
        <f>IF(COUNTA(V32:V36)=0,"",COUNTIF(V32:V36,"Ya")/5*100)</f>
        <v/>
      </c>
      <c r="W31" s="31" t="str">
        <f>IF(COUNTA(W32:W36)=0,"",COUNTIF(W32:W36,"Ya")/5*100)</f>
        <v/>
      </c>
      <c r="X31" s="31" t="str">
        <f>IF(COUNTA(X32:X36)=0,"",COUNTIF(X32:X36,"Ya")/5*100)</f>
        <v/>
      </c>
      <c r="Y31" s="31" t="str">
        <f>IF(COUNTA(Y32:Y36)=0,"",COUNTIF(Y32:Y36,"Ya")/5*100)</f>
        <v/>
      </c>
      <c r="Z31" s="31" t="str">
        <f>_xlfn.IFERROR(AVERAGE(E31:Y31),"")</f>
        <v/>
      </c>
    </row>
    <row r="32" spans="8:8" ht="25.0" customHeight="1">
      <c r="A32" s="32"/>
      <c r="B32" s="33" t="s">
        <v>542</v>
      </c>
      <c r="C32" s="34" t="s">
        <v>543</v>
      </c>
      <c r="D32" s="32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8:8" ht="25.0" customHeight="1">
      <c r="A33" s="32"/>
      <c r="B33" s="33" t="s">
        <v>544</v>
      </c>
      <c r="C33" s="34" t="s">
        <v>545</v>
      </c>
      <c r="D33" s="32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8:8" ht="14.0" customHeight="1">
      <c r="A34" s="32"/>
      <c r="B34" s="33" t="s">
        <v>546</v>
      </c>
      <c r="C34" s="34" t="s">
        <v>547</v>
      </c>
      <c r="D34" s="32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8:8" ht="25.0" customHeight="1">
      <c r="A35" s="32"/>
      <c r="B35" s="33" t="s">
        <v>548</v>
      </c>
      <c r="C35" s="34" t="s">
        <v>549</v>
      </c>
      <c r="D35" s="32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8:8" ht="25.0" customHeight="1">
      <c r="A36" s="32"/>
      <c r="B36" s="33" t="s">
        <v>550</v>
      </c>
      <c r="C36" s="34" t="s">
        <v>551</v>
      </c>
      <c r="D36" s="32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8:8" ht="40.0" customHeight="1">
      <c r="A37" s="28"/>
      <c r="B37" s="29" t="s">
        <v>552</v>
      </c>
      <c r="C37" s="30" t="s">
        <v>553</v>
      </c>
      <c r="D37" s="29">
        <v>5.0</v>
      </c>
      <c r="E37" s="31" t="str">
        <f>IF(COUNTA(E38:E42)=0,"",COUNTIF(E38:E42,"Ya")/5*100)</f>
        <v/>
      </c>
      <c r="F37" s="31" t="str">
        <f>IF(COUNTA(F38:F42)=0,"",COUNTIF(F38:F42,"Ya")/5*100)</f>
        <v/>
      </c>
      <c r="G37" s="31" t="str">
        <f>IF(COUNTA(G38:G42)=0,"",COUNTIF(G38:G42,"Ya")/5*100)</f>
        <v/>
      </c>
      <c r="H37" s="31" t="str">
        <f>IF(COUNTA(H38:H42)=0,"",COUNTIF(H38:H42,"Ya")/5*100)</f>
        <v/>
      </c>
      <c r="I37" s="31" t="str">
        <f>IF(COUNTA(I38:I42)=0,"",COUNTIF(I38:I42,"Ya")/5*100)</f>
        <v/>
      </c>
      <c r="J37" s="31" t="str">
        <f>IF(COUNTA(J38:J42)=0,"",COUNTIF(J38:J42,"Ya")/5*100)</f>
        <v/>
      </c>
      <c r="K37" s="31" t="str">
        <f>IF(COUNTA(K38:K42)=0,"",COUNTIF(K38:K42,"Ya")/5*100)</f>
        <v/>
      </c>
      <c r="L37" s="31" t="str">
        <f>IF(COUNTA(L38:L42)=0,"",COUNTIF(L38:L42,"Ya")/5*100)</f>
        <v/>
      </c>
      <c r="M37" s="31" t="str">
        <f>IF(COUNTA(M38:M42)=0,"",COUNTIF(M38:M42,"Ya")/5*100)</f>
        <v/>
      </c>
      <c r="N37" s="31" t="str">
        <f>IF(COUNTA(N38:N42)=0,"",COUNTIF(N38:N42,"Ya")/5*100)</f>
        <v/>
      </c>
      <c r="O37" s="31" t="str">
        <f>IF(COUNTA(O38:O42)=0,"",COUNTIF(O38:O42,"Ya")/5*100)</f>
        <v/>
      </c>
      <c r="P37" s="31" t="str">
        <f>IF(COUNTA(P38:P42)=0,"",COUNTIF(P38:P42,"Ya")/5*100)</f>
        <v/>
      </c>
      <c r="Q37" s="31" t="str">
        <f>IF(COUNTA(Q38:Q42)=0,"",COUNTIF(Q38:Q42,"Ya")/5*100)</f>
        <v/>
      </c>
      <c r="R37" s="31" t="str">
        <f>IF(COUNTA(R38:R42)=0,"",COUNTIF(R38:R42,"Ya")/5*100)</f>
        <v/>
      </c>
      <c r="S37" s="31" t="str">
        <f>IF(COUNTA(S38:S42)=0,"",COUNTIF(S38:S42,"Ya")/5*100)</f>
        <v/>
      </c>
      <c r="T37" s="31" t="str">
        <f>IF(COUNTA(T38:T42)=0,"",COUNTIF(T38:T42,"Ya")/5*100)</f>
        <v/>
      </c>
      <c r="U37" s="31" t="str">
        <f>IF(COUNTA(U38:U42)=0,"",COUNTIF(U38:U42,"Ya")/5*100)</f>
        <v/>
      </c>
      <c r="V37" s="31" t="str">
        <f>IF(COUNTA(V38:V42)=0,"",COUNTIF(V38:V42,"Ya")/5*100)</f>
        <v/>
      </c>
      <c r="W37" s="31" t="str">
        <f>IF(COUNTA(W38:W42)=0,"",COUNTIF(W38:W42,"Ya")/5*100)</f>
        <v/>
      </c>
      <c r="X37" s="31" t="str">
        <f>IF(COUNTA(X38:X42)=0,"",COUNTIF(X38:X42,"Ya")/5*100)</f>
        <v/>
      </c>
      <c r="Y37" s="31" t="str">
        <f>IF(COUNTA(Y38:Y42)=0,"",COUNTIF(Y38:Y42,"Ya")/5*100)</f>
        <v/>
      </c>
      <c r="Z37" s="31" t="str">
        <f>_xlfn.IFERROR(AVERAGE(E37:Y37),"")</f>
        <v/>
      </c>
    </row>
    <row r="38" spans="8:8" ht="25.0" customHeight="1">
      <c r="A38" s="32"/>
      <c r="B38" s="33" t="s">
        <v>554</v>
      </c>
      <c r="C38" s="34" t="s">
        <v>555</v>
      </c>
      <c r="D38" s="32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8:8" ht="25.0" customHeight="1">
      <c r="A39" s="32"/>
      <c r="B39" s="33" t="s">
        <v>556</v>
      </c>
      <c r="C39" s="34" t="s">
        <v>557</v>
      </c>
      <c r="D39" s="32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8:8" ht="25.0" customHeight="1">
      <c r="A40" s="32"/>
      <c r="B40" s="33" t="s">
        <v>558</v>
      </c>
      <c r="C40" s="34" t="s">
        <v>559</v>
      </c>
      <c r="D40" s="32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8:8" ht="25.0" customHeight="1">
      <c r="A41" s="32"/>
      <c r="B41" s="33" t="s">
        <v>560</v>
      </c>
      <c r="C41" s="34" t="s">
        <v>561</v>
      </c>
      <c r="D41" s="32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8:8" ht="25.0" customHeight="1">
      <c r="A42" s="32"/>
      <c r="B42" s="33" t="s">
        <v>562</v>
      </c>
      <c r="C42" s="34" t="s">
        <v>563</v>
      </c>
      <c r="D42" s="32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8:8" ht="40.0" customHeight="1">
      <c r="A43" s="28"/>
      <c r="B43" s="29" t="s">
        <v>564</v>
      </c>
      <c r="C43" s="30" t="s">
        <v>565</v>
      </c>
      <c r="D43" s="29">
        <v>5.0</v>
      </c>
      <c r="E43" s="31" t="str">
        <f>IF(COUNTA(E44:E48)=0,"",COUNTIF(E44:E48,"Ya")/5*100)</f>
        <v/>
      </c>
      <c r="F43" s="31" t="str">
        <f>IF(COUNTA(F44:F48)=0,"",COUNTIF(F44:F48,"Ya")/5*100)</f>
        <v/>
      </c>
      <c r="G43" s="31" t="str">
        <f>IF(COUNTA(G44:G48)=0,"",COUNTIF(G44:G48,"Ya")/5*100)</f>
        <v/>
      </c>
      <c r="H43" s="31" t="str">
        <f>IF(COUNTA(H44:H48)=0,"",COUNTIF(H44:H48,"Ya")/5*100)</f>
        <v/>
      </c>
      <c r="I43" s="31" t="str">
        <f>IF(COUNTA(I44:I48)=0,"",COUNTIF(I44:I48,"Ya")/5*100)</f>
        <v/>
      </c>
      <c r="J43" s="31" t="str">
        <f>IF(COUNTA(J44:J48)=0,"",COUNTIF(J44:J48,"Ya")/5*100)</f>
        <v/>
      </c>
      <c r="K43" s="31" t="str">
        <f>IF(COUNTA(K44:K48)=0,"",COUNTIF(K44:K48,"Ya")/5*100)</f>
        <v/>
      </c>
      <c r="L43" s="31" t="str">
        <f>IF(COUNTA(L44:L48)=0,"",COUNTIF(L44:L48,"Ya")/5*100)</f>
        <v/>
      </c>
      <c r="M43" s="31" t="str">
        <f>IF(COUNTA(M44:M48)=0,"",COUNTIF(M44:M48,"Ya")/5*100)</f>
        <v/>
      </c>
      <c r="N43" s="31" t="str">
        <f>IF(COUNTA(N44:N48)=0,"",COUNTIF(N44:N48,"Ya")/5*100)</f>
        <v/>
      </c>
      <c r="O43" s="31" t="str">
        <f>IF(COUNTA(O44:O48)=0,"",COUNTIF(O44:O48,"Ya")/5*100)</f>
        <v/>
      </c>
      <c r="P43" s="31" t="str">
        <f>IF(COUNTA(P44:P48)=0,"",COUNTIF(P44:P48,"Ya")/5*100)</f>
        <v/>
      </c>
      <c r="Q43" s="31" t="str">
        <f>IF(COUNTA(Q44:Q48)=0,"",COUNTIF(Q44:Q48,"Ya")/5*100)</f>
        <v/>
      </c>
      <c r="R43" s="31" t="str">
        <f>IF(COUNTA(R44:R48)=0,"",COUNTIF(R44:R48,"Ya")/5*100)</f>
        <v/>
      </c>
      <c r="S43" s="31" t="str">
        <f>IF(COUNTA(S44:S48)=0,"",COUNTIF(S44:S48,"Ya")/5*100)</f>
        <v/>
      </c>
      <c r="T43" s="31" t="str">
        <f>IF(COUNTA(T44:T48)=0,"",COUNTIF(T44:T48,"Ya")/5*100)</f>
        <v/>
      </c>
      <c r="U43" s="31" t="str">
        <f>IF(COUNTA(U44:U48)=0,"",COUNTIF(U44:U48,"Ya")/5*100)</f>
        <v/>
      </c>
      <c r="V43" s="31" t="str">
        <f>IF(COUNTA(V44:V48)=0,"",COUNTIF(V44:V48,"Ya")/5*100)</f>
        <v/>
      </c>
      <c r="W43" s="31" t="str">
        <f>IF(COUNTA(W44:W48)=0,"",COUNTIF(W44:W48,"Ya")/5*100)</f>
        <v/>
      </c>
      <c r="X43" s="31" t="str">
        <f>IF(COUNTA(X44:X48)=0,"",COUNTIF(X44:X48,"Ya")/5*100)</f>
        <v/>
      </c>
      <c r="Y43" s="31" t="str">
        <f>IF(COUNTA(Y44:Y48)=0,"",COUNTIF(Y44:Y48,"Ya")/5*100)</f>
        <v/>
      </c>
      <c r="Z43" s="31" t="str">
        <f>_xlfn.IFERROR(AVERAGE(E43:Y43),"")</f>
        <v/>
      </c>
    </row>
    <row r="44" spans="8:8" ht="25.0" customHeight="1">
      <c r="A44" s="32"/>
      <c r="B44" s="33" t="s">
        <v>566</v>
      </c>
      <c r="C44" s="34" t="s">
        <v>567</v>
      </c>
      <c r="D44" s="32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8:8" ht="25.0" customHeight="1">
      <c r="A45" s="32"/>
      <c r="B45" s="33" t="s">
        <v>568</v>
      </c>
      <c r="C45" s="34" t="s">
        <v>569</v>
      </c>
      <c r="D45" s="32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8:8" ht="25.0" customHeight="1">
      <c r="A46" s="32"/>
      <c r="B46" s="33" t="s">
        <v>570</v>
      </c>
      <c r="C46" s="34" t="s">
        <v>571</v>
      </c>
      <c r="D46" s="32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8:8" ht="25.0" customHeight="1">
      <c r="A47" s="32"/>
      <c r="B47" s="33" t="s">
        <v>572</v>
      </c>
      <c r="C47" s="34" t="s">
        <v>573</v>
      </c>
      <c r="D47" s="32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8:8" ht="25.0" customHeight="1">
      <c r="A48" s="32"/>
      <c r="B48" s="33" t="s">
        <v>574</v>
      </c>
      <c r="C48" s="34" t="s">
        <v>575</v>
      </c>
      <c r="D48" s="32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8:8" ht="28.0" customHeight="1">
      <c r="A49" s="28"/>
      <c r="B49" s="29" t="s">
        <v>576</v>
      </c>
      <c r="C49" s="30" t="s">
        <v>577</v>
      </c>
      <c r="D49" s="29">
        <v>5.0</v>
      </c>
      <c r="E49" s="31" t="str">
        <f>IF(COUNTA(E50:E54)=0,"",COUNTIF(E50:E54,"Ya")/5*100)</f>
        <v/>
      </c>
      <c r="F49" s="31" t="str">
        <f>IF(COUNTA(F50:F54)=0,"",COUNTIF(F50:F54,"Ya")/5*100)</f>
        <v/>
      </c>
      <c r="G49" s="31" t="str">
        <f>IF(COUNTA(G50:G54)=0,"",COUNTIF(G50:G54,"Ya")/5*100)</f>
        <v/>
      </c>
      <c r="H49" s="31" t="str">
        <f>IF(COUNTA(H50:H54)=0,"",COUNTIF(H50:H54,"Ya")/5*100)</f>
        <v/>
      </c>
      <c r="I49" s="31" t="str">
        <f>IF(COUNTA(I50:I54)=0,"",COUNTIF(I50:I54,"Ya")/5*100)</f>
        <v/>
      </c>
      <c r="J49" s="31" t="str">
        <f>IF(COUNTA(J50:J54)=0,"",COUNTIF(J50:J54,"Ya")/5*100)</f>
        <v/>
      </c>
      <c r="K49" s="31" t="str">
        <f>IF(COUNTA(K50:K54)=0,"",COUNTIF(K50:K54,"Ya")/5*100)</f>
        <v/>
      </c>
      <c r="L49" s="31" t="str">
        <f>IF(COUNTA(L50:L54)=0,"",COUNTIF(L50:L54,"Ya")/5*100)</f>
        <v/>
      </c>
      <c r="M49" s="31" t="str">
        <f>IF(COUNTA(M50:M54)=0,"",COUNTIF(M50:M54,"Ya")/5*100)</f>
        <v/>
      </c>
      <c r="N49" s="31" t="str">
        <f>IF(COUNTA(N50:N54)=0,"",COUNTIF(N50:N54,"Ya")/5*100)</f>
        <v/>
      </c>
      <c r="O49" s="31" t="str">
        <f>IF(COUNTA(O50:O54)=0,"",COUNTIF(O50:O54,"Ya")/5*100)</f>
        <v/>
      </c>
      <c r="P49" s="31" t="str">
        <f>IF(COUNTA(P50:P54)=0,"",COUNTIF(P50:P54,"Ya")/5*100)</f>
        <v/>
      </c>
      <c r="Q49" s="31" t="str">
        <f>IF(COUNTA(Q50:Q54)=0,"",COUNTIF(Q50:Q54,"Ya")/5*100)</f>
        <v/>
      </c>
      <c r="R49" s="31" t="str">
        <f>IF(COUNTA(R50:R54)=0,"",COUNTIF(R50:R54,"Ya")/5*100)</f>
        <v/>
      </c>
      <c r="S49" s="31" t="str">
        <f>IF(COUNTA(S50:S54)=0,"",COUNTIF(S50:S54,"Ya")/5*100)</f>
        <v/>
      </c>
      <c r="T49" s="31" t="str">
        <f>IF(COUNTA(T50:T54)=0,"",COUNTIF(T50:T54,"Ya")/5*100)</f>
        <v/>
      </c>
      <c r="U49" s="31" t="str">
        <f>IF(COUNTA(U50:U54)=0,"",COUNTIF(U50:U54,"Ya")/5*100)</f>
        <v/>
      </c>
      <c r="V49" s="31" t="str">
        <f>IF(COUNTA(V50:V54)=0,"",COUNTIF(V50:V54,"Ya")/5*100)</f>
        <v/>
      </c>
      <c r="W49" s="31" t="str">
        <f>IF(COUNTA(W50:W54)=0,"",COUNTIF(W50:W54,"Ya")/5*100)</f>
        <v/>
      </c>
      <c r="X49" s="31" t="str">
        <f>IF(COUNTA(X50:X54)=0,"",COUNTIF(X50:X54,"Ya")/5*100)</f>
        <v/>
      </c>
      <c r="Y49" s="31" t="str">
        <f>IF(COUNTA(Y50:Y54)=0,"",COUNTIF(Y50:Y54,"Ya")/5*100)</f>
        <v/>
      </c>
      <c r="Z49" s="31" t="str">
        <f>_xlfn.IFERROR(AVERAGE(E49:Y49),"")</f>
        <v/>
      </c>
    </row>
    <row r="50" spans="8:8" ht="25.0" customHeight="1">
      <c r="A50" s="32"/>
      <c r="B50" s="33" t="s">
        <v>578</v>
      </c>
      <c r="C50" s="34" t="s">
        <v>579</v>
      </c>
      <c r="D50" s="32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8:8" ht="25.0" customHeight="1">
      <c r="A51" s="32"/>
      <c r="B51" s="33" t="s">
        <v>580</v>
      </c>
      <c r="C51" s="34" t="s">
        <v>581</v>
      </c>
      <c r="D51" s="32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8:8" ht="25.0" customHeight="1">
      <c r="A52" s="32"/>
      <c r="B52" s="33" t="s">
        <v>582</v>
      </c>
      <c r="C52" s="34" t="s">
        <v>583</v>
      </c>
      <c r="D52" s="32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8:8" ht="25.0" customHeight="1">
      <c r="A53" s="32"/>
      <c r="B53" s="33" t="s">
        <v>584</v>
      </c>
      <c r="C53" s="34" t="s">
        <v>585</v>
      </c>
      <c r="D53" s="32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8:8" ht="25.0" customHeight="1">
      <c r="A54" s="32"/>
      <c r="B54" s="33" t="s">
        <v>586</v>
      </c>
      <c r="C54" s="34" t="s">
        <v>587</v>
      </c>
      <c r="D54" s="32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8:8" ht="18.0" customHeight="1">
      <c r="A55" s="36"/>
      <c r="B55" s="36"/>
      <c r="C55" s="37" t="s">
        <v>588</v>
      </c>
      <c r="D55" s="38">
        <v>20.0</v>
      </c>
      <c r="E55" s="39" t="str">
        <f>IF((IF(ISNUMBER(E31),5,0)+IF(ISNUMBER(E37),5,0)+IF(ISNUMBER(E43),5,0)+IF(ISNUMBER(E49),5,0))=0,"",(IF(ISNUMBER(E31),E31*5,0)+IF(ISNUMBER(E37),E37*5,0)+IF(ISNUMBER(E43),E43*5,0)+IF(ISNUMBER(E49),E49*5,0))/(IF(ISNUMBER(E31),5,0)+IF(ISNUMBER(E37),5,0)+IF(ISNUMBER(E43),5,0)+IF(ISNUMBER(E49),5,0)))</f>
        <v/>
      </c>
      <c r="F55" s="39" t="str">
        <f>IF((IF(ISNUMBER(F31),5,0)+IF(ISNUMBER(F37),5,0)+IF(ISNUMBER(F43),5,0)+IF(ISNUMBER(F49),5,0))=0,"",(IF(ISNUMBER(F31),F31*5,0)+IF(ISNUMBER(F37),F37*5,0)+IF(ISNUMBER(F43),F43*5,0)+IF(ISNUMBER(F49),F49*5,0))/(IF(ISNUMBER(F31),5,0)+IF(ISNUMBER(F37),5,0)+IF(ISNUMBER(F43),5,0)+IF(ISNUMBER(F49),5,0)))</f>
        <v/>
      </c>
      <c r="G55" s="39" t="str">
        <f>IF((IF(ISNUMBER(G31),5,0)+IF(ISNUMBER(G37),5,0)+IF(ISNUMBER(G43),5,0)+IF(ISNUMBER(G49),5,0))=0,"",(IF(ISNUMBER(G31),G31*5,0)+IF(ISNUMBER(G37),G37*5,0)+IF(ISNUMBER(G43),G43*5,0)+IF(ISNUMBER(G49),G49*5,0))/(IF(ISNUMBER(G31),5,0)+IF(ISNUMBER(G37),5,0)+IF(ISNUMBER(G43),5,0)+IF(ISNUMBER(G49),5,0)))</f>
        <v/>
      </c>
      <c r="H55" s="39" t="str">
        <f>IF((IF(ISNUMBER(H31),5,0)+IF(ISNUMBER(H37),5,0)+IF(ISNUMBER(H43),5,0)+IF(ISNUMBER(H49),5,0))=0,"",(IF(ISNUMBER(H31),H31*5,0)+IF(ISNUMBER(H37),H37*5,0)+IF(ISNUMBER(H43),H43*5,0)+IF(ISNUMBER(H49),H49*5,0))/(IF(ISNUMBER(H31),5,0)+IF(ISNUMBER(H37),5,0)+IF(ISNUMBER(H43),5,0)+IF(ISNUMBER(H49),5,0)))</f>
        <v/>
      </c>
      <c r="I55" s="39" t="str">
        <f>IF((IF(ISNUMBER(I31),5,0)+IF(ISNUMBER(I37),5,0)+IF(ISNUMBER(I43),5,0)+IF(ISNUMBER(I49),5,0))=0,"",(IF(ISNUMBER(I31),I31*5,0)+IF(ISNUMBER(I37),I37*5,0)+IF(ISNUMBER(I43),I43*5,0)+IF(ISNUMBER(I49),I49*5,0))/(IF(ISNUMBER(I31),5,0)+IF(ISNUMBER(I37),5,0)+IF(ISNUMBER(I43),5,0)+IF(ISNUMBER(I49),5,0)))</f>
        <v/>
      </c>
      <c r="J55" s="39" t="str">
        <f>IF((IF(ISNUMBER(J31),5,0)+IF(ISNUMBER(J37),5,0)+IF(ISNUMBER(J43),5,0)+IF(ISNUMBER(J49),5,0))=0,"",(IF(ISNUMBER(J31),J31*5,0)+IF(ISNUMBER(J37),J37*5,0)+IF(ISNUMBER(J43),J43*5,0)+IF(ISNUMBER(J49),J49*5,0))/(IF(ISNUMBER(J31),5,0)+IF(ISNUMBER(J37),5,0)+IF(ISNUMBER(J43),5,0)+IF(ISNUMBER(J49),5,0)))</f>
        <v/>
      </c>
      <c r="K55" s="39" t="str">
        <f>IF((IF(ISNUMBER(K31),5,0)+IF(ISNUMBER(K37),5,0)+IF(ISNUMBER(K43),5,0)+IF(ISNUMBER(K49),5,0))=0,"",(IF(ISNUMBER(K31),K31*5,0)+IF(ISNUMBER(K37),K37*5,0)+IF(ISNUMBER(K43),K43*5,0)+IF(ISNUMBER(K49),K49*5,0))/(IF(ISNUMBER(K31),5,0)+IF(ISNUMBER(K37),5,0)+IF(ISNUMBER(K43),5,0)+IF(ISNUMBER(K49),5,0)))</f>
        <v/>
      </c>
      <c r="L55" s="39" t="str">
        <f>IF((IF(ISNUMBER(L31),5,0)+IF(ISNUMBER(L37),5,0)+IF(ISNUMBER(L43),5,0)+IF(ISNUMBER(L49),5,0))=0,"",(IF(ISNUMBER(L31),L31*5,0)+IF(ISNUMBER(L37),L37*5,0)+IF(ISNUMBER(L43),L43*5,0)+IF(ISNUMBER(L49),L49*5,0))/(IF(ISNUMBER(L31),5,0)+IF(ISNUMBER(L37),5,0)+IF(ISNUMBER(L43),5,0)+IF(ISNUMBER(L49),5,0)))</f>
        <v/>
      </c>
      <c r="M55" s="39" t="str">
        <f>IF((IF(ISNUMBER(M31),5,0)+IF(ISNUMBER(M37),5,0)+IF(ISNUMBER(M43),5,0)+IF(ISNUMBER(M49),5,0))=0,"",(IF(ISNUMBER(M31),M31*5,0)+IF(ISNUMBER(M37),M37*5,0)+IF(ISNUMBER(M43),M43*5,0)+IF(ISNUMBER(M49),M49*5,0))/(IF(ISNUMBER(M31),5,0)+IF(ISNUMBER(M37),5,0)+IF(ISNUMBER(M43),5,0)+IF(ISNUMBER(M49),5,0)))</f>
        <v/>
      </c>
      <c r="N55" s="39" t="str">
        <f>IF((IF(ISNUMBER(N31),5,0)+IF(ISNUMBER(N37),5,0)+IF(ISNUMBER(N43),5,0)+IF(ISNUMBER(N49),5,0))=0,"",(IF(ISNUMBER(N31),N31*5,0)+IF(ISNUMBER(N37),N37*5,0)+IF(ISNUMBER(N43),N43*5,0)+IF(ISNUMBER(N49),N49*5,0))/(IF(ISNUMBER(N31),5,0)+IF(ISNUMBER(N37),5,0)+IF(ISNUMBER(N43),5,0)+IF(ISNUMBER(N49),5,0)))</f>
        <v/>
      </c>
      <c r="O55" s="39" t="str">
        <f>IF((IF(ISNUMBER(O31),5,0)+IF(ISNUMBER(O37),5,0)+IF(ISNUMBER(O43),5,0)+IF(ISNUMBER(O49),5,0))=0,"",(IF(ISNUMBER(O31),O31*5,0)+IF(ISNUMBER(O37),O37*5,0)+IF(ISNUMBER(O43),O43*5,0)+IF(ISNUMBER(O49),O49*5,0))/(IF(ISNUMBER(O31),5,0)+IF(ISNUMBER(O37),5,0)+IF(ISNUMBER(O43),5,0)+IF(ISNUMBER(O49),5,0)))</f>
        <v/>
      </c>
      <c r="P55" s="39" t="str">
        <f>IF((IF(ISNUMBER(P31),5,0)+IF(ISNUMBER(P37),5,0)+IF(ISNUMBER(P43),5,0)+IF(ISNUMBER(P49),5,0))=0,"",(IF(ISNUMBER(P31),P31*5,0)+IF(ISNUMBER(P37),P37*5,0)+IF(ISNUMBER(P43),P43*5,0)+IF(ISNUMBER(P49),P49*5,0))/(IF(ISNUMBER(P31),5,0)+IF(ISNUMBER(P37),5,0)+IF(ISNUMBER(P43),5,0)+IF(ISNUMBER(P49),5,0)))</f>
        <v/>
      </c>
      <c r="Q55" s="39" t="str">
        <f>IF((IF(ISNUMBER(Q31),5,0)+IF(ISNUMBER(Q37),5,0)+IF(ISNUMBER(Q43),5,0)+IF(ISNUMBER(Q49),5,0))=0,"",(IF(ISNUMBER(Q31),Q31*5,0)+IF(ISNUMBER(Q37),Q37*5,0)+IF(ISNUMBER(Q43),Q43*5,0)+IF(ISNUMBER(Q49),Q49*5,0))/(IF(ISNUMBER(Q31),5,0)+IF(ISNUMBER(Q37),5,0)+IF(ISNUMBER(Q43),5,0)+IF(ISNUMBER(Q49),5,0)))</f>
        <v/>
      </c>
      <c r="R55" s="39" t="str">
        <f>IF((IF(ISNUMBER(R31),5,0)+IF(ISNUMBER(R37),5,0)+IF(ISNUMBER(R43),5,0)+IF(ISNUMBER(R49),5,0))=0,"",(IF(ISNUMBER(R31),R31*5,0)+IF(ISNUMBER(R37),R37*5,0)+IF(ISNUMBER(R43),R43*5,0)+IF(ISNUMBER(R49),R49*5,0))/(IF(ISNUMBER(R31),5,0)+IF(ISNUMBER(R37),5,0)+IF(ISNUMBER(R43),5,0)+IF(ISNUMBER(R49),5,0)))</f>
        <v/>
      </c>
      <c r="S55" s="39" t="str">
        <f>IF((IF(ISNUMBER(S31),5,0)+IF(ISNUMBER(S37),5,0)+IF(ISNUMBER(S43),5,0)+IF(ISNUMBER(S49),5,0))=0,"",(IF(ISNUMBER(S31),S31*5,0)+IF(ISNUMBER(S37),S37*5,0)+IF(ISNUMBER(S43),S43*5,0)+IF(ISNUMBER(S49),S49*5,0))/(IF(ISNUMBER(S31),5,0)+IF(ISNUMBER(S37),5,0)+IF(ISNUMBER(S43),5,0)+IF(ISNUMBER(S49),5,0)))</f>
        <v/>
      </c>
      <c r="T55" s="39" t="str">
        <f>IF((IF(ISNUMBER(T31),5,0)+IF(ISNUMBER(T37),5,0)+IF(ISNUMBER(T43),5,0)+IF(ISNUMBER(T49),5,0))=0,"",(IF(ISNUMBER(T31),T31*5,0)+IF(ISNUMBER(T37),T37*5,0)+IF(ISNUMBER(T43),T43*5,0)+IF(ISNUMBER(T49),T49*5,0))/(IF(ISNUMBER(T31),5,0)+IF(ISNUMBER(T37),5,0)+IF(ISNUMBER(T43),5,0)+IF(ISNUMBER(T49),5,0)))</f>
        <v/>
      </c>
      <c r="U55" s="39" t="str">
        <f>IF((IF(ISNUMBER(U31),5,0)+IF(ISNUMBER(U37),5,0)+IF(ISNUMBER(U43),5,0)+IF(ISNUMBER(U49),5,0))=0,"",(IF(ISNUMBER(U31),U31*5,0)+IF(ISNUMBER(U37),U37*5,0)+IF(ISNUMBER(U43),U43*5,0)+IF(ISNUMBER(U49),U49*5,0))/(IF(ISNUMBER(U31),5,0)+IF(ISNUMBER(U37),5,0)+IF(ISNUMBER(U43),5,0)+IF(ISNUMBER(U49),5,0)))</f>
        <v/>
      </c>
      <c r="V55" s="39" t="str">
        <f>IF((IF(ISNUMBER(V31),5,0)+IF(ISNUMBER(V37),5,0)+IF(ISNUMBER(V43),5,0)+IF(ISNUMBER(V49),5,0))=0,"",(IF(ISNUMBER(V31),V31*5,0)+IF(ISNUMBER(V37),V37*5,0)+IF(ISNUMBER(V43),V43*5,0)+IF(ISNUMBER(V49),V49*5,0))/(IF(ISNUMBER(V31),5,0)+IF(ISNUMBER(V37),5,0)+IF(ISNUMBER(V43),5,0)+IF(ISNUMBER(V49),5,0)))</f>
        <v/>
      </c>
      <c r="W55" s="39" t="str">
        <f>IF((IF(ISNUMBER(W31),5,0)+IF(ISNUMBER(W37),5,0)+IF(ISNUMBER(W43),5,0)+IF(ISNUMBER(W49),5,0))=0,"",(IF(ISNUMBER(W31),W31*5,0)+IF(ISNUMBER(W37),W37*5,0)+IF(ISNUMBER(W43),W43*5,0)+IF(ISNUMBER(W49),W49*5,0))/(IF(ISNUMBER(W31),5,0)+IF(ISNUMBER(W37),5,0)+IF(ISNUMBER(W43),5,0)+IF(ISNUMBER(W49),5,0)))</f>
        <v/>
      </c>
      <c r="X55" s="39" t="str">
        <f>IF((IF(ISNUMBER(X31),5,0)+IF(ISNUMBER(X37),5,0)+IF(ISNUMBER(X43),5,0)+IF(ISNUMBER(X49),5,0))=0,"",(IF(ISNUMBER(X31),X31*5,0)+IF(ISNUMBER(X37),X37*5,0)+IF(ISNUMBER(X43),X43*5,0)+IF(ISNUMBER(X49),X49*5,0))/(IF(ISNUMBER(X31),5,0)+IF(ISNUMBER(X37),5,0)+IF(ISNUMBER(X43),5,0)+IF(ISNUMBER(X49),5,0)))</f>
        <v/>
      </c>
      <c r="Y55" s="39" t="str">
        <f>IF((IF(ISNUMBER(Y31),5,0)+IF(ISNUMBER(Y37),5,0)+IF(ISNUMBER(Y43),5,0)+IF(ISNUMBER(Y49),5,0))=0,"",(IF(ISNUMBER(Y31),Y31*5,0)+IF(ISNUMBER(Y37),Y37*5,0)+IF(ISNUMBER(Y43),Y43*5,0)+IF(ISNUMBER(Y49),Y49*5,0))/(IF(ISNUMBER(Y31),5,0)+IF(ISNUMBER(Y37),5,0)+IF(ISNUMBER(Y43),5,0)+IF(ISNUMBER(Y49),5,0)))</f>
        <v/>
      </c>
      <c r="Z55" s="39" t="str">
        <f>_xlfn.IFERROR(AVERAGE(E55:Y55),"")</f>
        <v/>
      </c>
    </row>
    <row r="56" spans="8:8" ht="20.0" customHeight="1">
      <c r="A56" s="18" t="s">
        <v>589</v>
      </c>
    </row>
    <row r="57" spans="8:8" ht="28.0" customHeight="1">
      <c r="A57" s="28"/>
      <c r="B57" s="29" t="s">
        <v>590</v>
      </c>
      <c r="C57" s="30" t="s">
        <v>591</v>
      </c>
      <c r="D57" s="29">
        <v>6.7</v>
      </c>
      <c r="E57" s="31" t="str">
        <f>IF(COUNTA(E58:E62)=0,"",COUNTIF(E58:E62,"Ya")/5*100)</f>
        <v/>
      </c>
      <c r="F57" s="31" t="str">
        <f>IF(COUNTA(F58:F62)=0,"",COUNTIF(F58:F62,"Ya")/5*100)</f>
        <v/>
      </c>
      <c r="G57" s="31" t="str">
        <f>IF(COUNTA(G58:G62)=0,"",COUNTIF(G58:G62,"Ya")/5*100)</f>
        <v/>
      </c>
      <c r="H57" s="31" t="str">
        <f>IF(COUNTA(H58:H62)=0,"",COUNTIF(H58:H62,"Ya")/5*100)</f>
        <v/>
      </c>
      <c r="I57" s="31" t="str">
        <f>IF(COUNTA(I58:I62)=0,"",COUNTIF(I58:I62,"Ya")/5*100)</f>
        <v/>
      </c>
      <c r="J57" s="31" t="str">
        <f>IF(COUNTA(J58:J62)=0,"",COUNTIF(J58:J62,"Ya")/5*100)</f>
        <v/>
      </c>
      <c r="K57" s="31" t="str">
        <f>IF(COUNTA(K58:K62)=0,"",COUNTIF(K58:K62,"Ya")/5*100)</f>
        <v/>
      </c>
      <c r="L57" s="31" t="str">
        <f>IF(COUNTA(L58:L62)=0,"",COUNTIF(L58:L62,"Ya")/5*100)</f>
        <v/>
      </c>
      <c r="M57" s="31" t="str">
        <f>IF(COUNTA(M58:M62)=0,"",COUNTIF(M58:M62,"Ya")/5*100)</f>
        <v/>
      </c>
      <c r="N57" s="31" t="str">
        <f>IF(COUNTA(N58:N62)=0,"",COUNTIF(N58:N62,"Ya")/5*100)</f>
        <v/>
      </c>
      <c r="O57" s="31" t="str">
        <f>IF(COUNTA(O58:O62)=0,"",COUNTIF(O58:O62,"Ya")/5*100)</f>
        <v/>
      </c>
      <c r="P57" s="31" t="str">
        <f>IF(COUNTA(P58:P62)=0,"",COUNTIF(P58:P62,"Ya")/5*100)</f>
        <v/>
      </c>
      <c r="Q57" s="31" t="str">
        <f>IF(COUNTA(Q58:Q62)=0,"",COUNTIF(Q58:Q62,"Ya")/5*100)</f>
        <v/>
      </c>
      <c r="R57" s="31" t="str">
        <f>IF(COUNTA(R58:R62)=0,"",COUNTIF(R58:R62,"Ya")/5*100)</f>
        <v/>
      </c>
      <c r="S57" s="31" t="str">
        <f>IF(COUNTA(S58:S62)=0,"",COUNTIF(S58:S62,"Ya")/5*100)</f>
        <v/>
      </c>
      <c r="T57" s="31" t="str">
        <f>IF(COUNTA(T58:T62)=0,"",COUNTIF(T58:T62,"Ya")/5*100)</f>
        <v/>
      </c>
      <c r="U57" s="31" t="str">
        <f>IF(COUNTA(U58:U62)=0,"",COUNTIF(U58:U62,"Ya")/5*100)</f>
        <v/>
      </c>
      <c r="V57" s="31" t="str">
        <f>IF(COUNTA(V58:V62)=0,"",COUNTIF(V58:V62,"Ya")/5*100)</f>
        <v/>
      </c>
      <c r="W57" s="31" t="str">
        <f>IF(COUNTA(W58:W62)=0,"",COUNTIF(W58:W62,"Ya")/5*100)</f>
        <v/>
      </c>
      <c r="X57" s="31" t="str">
        <f>IF(COUNTA(X58:X62)=0,"",COUNTIF(X58:X62,"Ya")/5*100)</f>
        <v/>
      </c>
      <c r="Y57" s="31" t="str">
        <f>IF(COUNTA(Y58:Y62)=0,"",COUNTIF(Y58:Y62,"Ya")/5*100)</f>
        <v/>
      </c>
      <c r="Z57" s="31" t="str">
        <f>_xlfn.IFERROR(AVERAGE(E57:Y57),"")</f>
        <v/>
      </c>
    </row>
    <row r="58" spans="8:8" ht="25.0" customHeight="1">
      <c r="A58" s="32"/>
      <c r="B58" s="33" t="s">
        <v>592</v>
      </c>
      <c r="C58" s="34" t="s">
        <v>593</v>
      </c>
      <c r="D58" s="32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8:8" ht="25.0" customHeight="1">
      <c r="A59" s="32"/>
      <c r="B59" s="33" t="s">
        <v>594</v>
      </c>
      <c r="C59" s="34" t="s">
        <v>595</v>
      </c>
      <c r="D59" s="32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8:8" ht="25.0" customHeight="1">
      <c r="A60" s="32"/>
      <c r="B60" s="33" t="s">
        <v>596</v>
      </c>
      <c r="C60" s="34" t="s">
        <v>597</v>
      </c>
      <c r="D60" s="32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8:8" ht="25.0" customHeight="1">
      <c r="A61" s="32"/>
      <c r="B61" s="33" t="s">
        <v>598</v>
      </c>
      <c r="C61" s="34" t="s">
        <v>599</v>
      </c>
      <c r="D61" s="32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8:8" ht="25.0" customHeight="1">
      <c r="A62" s="32"/>
      <c r="B62" s="33" t="s">
        <v>600</v>
      </c>
      <c r="C62" s="34" t="s">
        <v>601</v>
      </c>
      <c r="D62" s="32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8:8" ht="28.0" customHeight="1">
      <c r="A63" s="28"/>
      <c r="B63" s="29" t="s">
        <v>602</v>
      </c>
      <c r="C63" s="30" t="s">
        <v>603</v>
      </c>
      <c r="D63" s="29">
        <v>6.7</v>
      </c>
      <c r="E63" s="31" t="str">
        <f>IF(COUNTA(E64:E68)=0,"",COUNTIF(E64:E68,"Ya")/5*100)</f>
        <v/>
      </c>
      <c r="F63" s="31" t="str">
        <f>IF(COUNTA(F64:F68)=0,"",COUNTIF(F64:F68,"Ya")/5*100)</f>
        <v/>
      </c>
      <c r="G63" s="31" t="str">
        <f>IF(COUNTA(G64:G68)=0,"",COUNTIF(G64:G68,"Ya")/5*100)</f>
        <v/>
      </c>
      <c r="H63" s="31" t="str">
        <f>IF(COUNTA(H64:H68)=0,"",COUNTIF(H64:H68,"Ya")/5*100)</f>
        <v/>
      </c>
      <c r="I63" s="31" t="str">
        <f>IF(COUNTA(I64:I68)=0,"",COUNTIF(I64:I68,"Ya")/5*100)</f>
        <v/>
      </c>
      <c r="J63" s="31" t="str">
        <f>IF(COUNTA(J64:J68)=0,"",COUNTIF(J64:J68,"Ya")/5*100)</f>
        <v/>
      </c>
      <c r="K63" s="31" t="str">
        <f>IF(COUNTA(K64:K68)=0,"",COUNTIF(K64:K68,"Ya")/5*100)</f>
        <v/>
      </c>
      <c r="L63" s="31" t="str">
        <f>IF(COUNTA(L64:L68)=0,"",COUNTIF(L64:L68,"Ya")/5*100)</f>
        <v/>
      </c>
      <c r="M63" s="31" t="str">
        <f>IF(COUNTA(M64:M68)=0,"",COUNTIF(M64:M68,"Ya")/5*100)</f>
        <v/>
      </c>
      <c r="N63" s="31" t="str">
        <f>IF(COUNTA(N64:N68)=0,"",COUNTIF(N64:N68,"Ya")/5*100)</f>
        <v/>
      </c>
      <c r="O63" s="31" t="str">
        <f>IF(COUNTA(O64:O68)=0,"",COUNTIF(O64:O68,"Ya")/5*100)</f>
        <v/>
      </c>
      <c r="P63" s="31" t="str">
        <f>IF(COUNTA(P64:P68)=0,"",COUNTIF(P64:P68,"Ya")/5*100)</f>
        <v/>
      </c>
      <c r="Q63" s="31" t="str">
        <f>IF(COUNTA(Q64:Q68)=0,"",COUNTIF(Q64:Q68,"Ya")/5*100)</f>
        <v/>
      </c>
      <c r="R63" s="31" t="str">
        <f>IF(COUNTA(R64:R68)=0,"",COUNTIF(R64:R68,"Ya")/5*100)</f>
        <v/>
      </c>
      <c r="S63" s="31" t="str">
        <f>IF(COUNTA(S64:S68)=0,"",COUNTIF(S64:S68,"Ya")/5*100)</f>
        <v/>
      </c>
      <c r="T63" s="31" t="str">
        <f>IF(COUNTA(T64:T68)=0,"",COUNTIF(T64:T68,"Ya")/5*100)</f>
        <v/>
      </c>
      <c r="U63" s="31" t="str">
        <f>IF(COUNTA(U64:U68)=0,"",COUNTIF(U64:U68,"Ya")/5*100)</f>
        <v/>
      </c>
      <c r="V63" s="31" t="str">
        <f>IF(COUNTA(V64:V68)=0,"",COUNTIF(V64:V68,"Ya")/5*100)</f>
        <v/>
      </c>
      <c r="W63" s="31" t="str">
        <f>IF(COUNTA(W64:W68)=0,"",COUNTIF(W64:W68,"Ya")/5*100)</f>
        <v/>
      </c>
      <c r="X63" s="31" t="str">
        <f>IF(COUNTA(X64:X68)=0,"",COUNTIF(X64:X68,"Ya")/5*100)</f>
        <v/>
      </c>
      <c r="Y63" s="31" t="str">
        <f>IF(COUNTA(Y64:Y68)=0,"",COUNTIF(Y64:Y68,"Ya")/5*100)</f>
        <v/>
      </c>
      <c r="Z63" s="31" t="str">
        <f>_xlfn.IFERROR(AVERAGE(E63:Y63),"")</f>
        <v/>
      </c>
    </row>
    <row r="64" spans="8:8" ht="25.0" customHeight="1">
      <c r="A64" s="32"/>
      <c r="B64" s="33" t="s">
        <v>604</v>
      </c>
      <c r="C64" s="34" t="s">
        <v>605</v>
      </c>
      <c r="D64" s="32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8:8" ht="25.0" customHeight="1">
      <c r="A65" s="32"/>
      <c r="B65" s="33" t="s">
        <v>606</v>
      </c>
      <c r="C65" s="34" t="s">
        <v>607</v>
      </c>
      <c r="D65" s="32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8:8" ht="25.0" customHeight="1">
      <c r="A66" s="32"/>
      <c r="B66" s="33" t="s">
        <v>608</v>
      </c>
      <c r="C66" s="34" t="s">
        <v>609</v>
      </c>
      <c r="D66" s="32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8:8" ht="25.0" customHeight="1">
      <c r="A67" s="32"/>
      <c r="B67" s="33" t="s">
        <v>610</v>
      </c>
      <c r="C67" s="34" t="s">
        <v>611</v>
      </c>
      <c r="D67" s="32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8:8" ht="25.0" customHeight="1">
      <c r="A68" s="32"/>
      <c r="B68" s="33" t="s">
        <v>612</v>
      </c>
      <c r="C68" s="34" t="s">
        <v>613</v>
      </c>
      <c r="D68" s="32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8:8" ht="28.0" customHeight="1">
      <c r="A69" s="28"/>
      <c r="B69" s="29" t="s">
        <v>614</v>
      </c>
      <c r="C69" s="30" t="s">
        <v>615</v>
      </c>
      <c r="D69" s="29">
        <v>6.6</v>
      </c>
      <c r="E69" s="31" t="str">
        <f>IF(COUNTA(E70:E74)=0,"",COUNTIF(E70:E74,"Ya")/5*100)</f>
        <v/>
      </c>
      <c r="F69" s="31" t="str">
        <f>IF(COUNTA(F70:F74)=0,"",COUNTIF(F70:F74,"Ya")/5*100)</f>
        <v/>
      </c>
      <c r="G69" s="31" t="str">
        <f>IF(COUNTA(G70:G74)=0,"",COUNTIF(G70:G74,"Ya")/5*100)</f>
        <v/>
      </c>
      <c r="H69" s="31" t="str">
        <f>IF(COUNTA(H70:H74)=0,"",COUNTIF(H70:H74,"Ya")/5*100)</f>
        <v/>
      </c>
      <c r="I69" s="31" t="str">
        <f>IF(COUNTA(I70:I74)=0,"",COUNTIF(I70:I74,"Ya")/5*100)</f>
        <v/>
      </c>
      <c r="J69" s="31" t="str">
        <f>IF(COUNTA(J70:J74)=0,"",COUNTIF(J70:J74,"Ya")/5*100)</f>
        <v/>
      </c>
      <c r="K69" s="31" t="str">
        <f>IF(COUNTA(K70:K74)=0,"",COUNTIF(K70:K74,"Ya")/5*100)</f>
        <v/>
      </c>
      <c r="L69" s="31" t="str">
        <f>IF(COUNTA(L70:L74)=0,"",COUNTIF(L70:L74,"Ya")/5*100)</f>
        <v/>
      </c>
      <c r="M69" s="31" t="str">
        <f>IF(COUNTA(M70:M74)=0,"",COUNTIF(M70:M74,"Ya")/5*100)</f>
        <v/>
      </c>
      <c r="N69" s="31" t="str">
        <f>IF(COUNTA(N70:N74)=0,"",COUNTIF(N70:N74,"Ya")/5*100)</f>
        <v/>
      </c>
      <c r="O69" s="31" t="str">
        <f>IF(COUNTA(O70:O74)=0,"",COUNTIF(O70:O74,"Ya")/5*100)</f>
        <v/>
      </c>
      <c r="P69" s="31" t="str">
        <f>IF(COUNTA(P70:P74)=0,"",COUNTIF(P70:P74,"Ya")/5*100)</f>
        <v/>
      </c>
      <c r="Q69" s="31" t="str">
        <f>IF(COUNTA(Q70:Q74)=0,"",COUNTIF(Q70:Q74,"Ya")/5*100)</f>
        <v/>
      </c>
      <c r="R69" s="31" t="str">
        <f>IF(COUNTA(R70:R74)=0,"",COUNTIF(R70:R74,"Ya")/5*100)</f>
        <v/>
      </c>
      <c r="S69" s="31" t="str">
        <f>IF(COUNTA(S70:S74)=0,"",COUNTIF(S70:S74,"Ya")/5*100)</f>
        <v/>
      </c>
      <c r="T69" s="31" t="str">
        <f>IF(COUNTA(T70:T74)=0,"",COUNTIF(T70:T74,"Ya")/5*100)</f>
        <v/>
      </c>
      <c r="U69" s="31" t="str">
        <f>IF(COUNTA(U70:U74)=0,"",COUNTIF(U70:U74,"Ya")/5*100)</f>
        <v/>
      </c>
      <c r="V69" s="31" t="str">
        <f>IF(COUNTA(V70:V74)=0,"",COUNTIF(V70:V74,"Ya")/5*100)</f>
        <v/>
      </c>
      <c r="W69" s="31" t="str">
        <f>IF(COUNTA(W70:W74)=0,"",COUNTIF(W70:W74,"Ya")/5*100)</f>
        <v/>
      </c>
      <c r="X69" s="31" t="str">
        <f>IF(COUNTA(X70:X74)=0,"",COUNTIF(X70:X74,"Ya")/5*100)</f>
        <v/>
      </c>
      <c r="Y69" s="31" t="str">
        <f>IF(COUNTA(Y70:Y74)=0,"",COUNTIF(Y70:Y74,"Ya")/5*100)</f>
        <v/>
      </c>
      <c r="Z69" s="31" t="str">
        <f>_xlfn.IFERROR(AVERAGE(E69:Y69),"")</f>
        <v/>
      </c>
    </row>
    <row r="70" spans="8:8" ht="25.0" customHeight="1">
      <c r="A70" s="32"/>
      <c r="B70" s="33" t="s">
        <v>616</v>
      </c>
      <c r="C70" s="34" t="s">
        <v>617</v>
      </c>
      <c r="D70" s="32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8:8" ht="25.0" customHeight="1">
      <c r="A71" s="32"/>
      <c r="B71" s="33" t="s">
        <v>618</v>
      </c>
      <c r="C71" s="34" t="s">
        <v>619</v>
      </c>
      <c r="D71" s="32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spans="8:8" ht="25.0" customHeight="1">
      <c r="A72" s="32"/>
      <c r="B72" s="33" t="s">
        <v>620</v>
      </c>
      <c r="C72" s="34" t="s">
        <v>621</v>
      </c>
      <c r="D72" s="32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spans="8:8" ht="25.0" customHeight="1">
      <c r="A73" s="32"/>
      <c r="B73" s="33" t="s">
        <v>622</v>
      </c>
      <c r="C73" s="34" t="s">
        <v>623</v>
      </c>
      <c r="D73" s="32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spans="8:8" ht="25.0" customHeight="1">
      <c r="A74" s="32"/>
      <c r="B74" s="33" t="s">
        <v>624</v>
      </c>
      <c r="C74" s="34" t="s">
        <v>625</v>
      </c>
      <c r="D74" s="32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spans="8:8" ht="18.0" customHeight="1">
      <c r="A75" s="36"/>
      <c r="B75" s="36"/>
      <c r="C75" s="37" t="s">
        <v>626</v>
      </c>
      <c r="D75" s="38">
        <v>20.0</v>
      </c>
      <c r="E75" s="39" t="str">
        <f>IF((IF(ISNUMBER(E57),6.7,0)+IF(ISNUMBER(E63),6.7,0)+IF(ISNUMBER(E69),6.6,0))=0,"",(IF(ISNUMBER(E57),E57*6.7,0)+IF(ISNUMBER(E63),E63*6.7,0)+IF(ISNUMBER(E69),E69*6.6,0))/(IF(ISNUMBER(E57),6.7,0)+IF(ISNUMBER(E63),6.7,0)+IF(ISNUMBER(E69),6.6,0)))</f>
        <v/>
      </c>
      <c r="F75" s="39" t="str">
        <f>IF((IF(ISNUMBER(F57),6.7,0)+IF(ISNUMBER(F63),6.7,0)+IF(ISNUMBER(F69),6.6,0))=0,"",(IF(ISNUMBER(F57),F57*6.7,0)+IF(ISNUMBER(F63),F63*6.7,0)+IF(ISNUMBER(F69),F69*6.6,0))/(IF(ISNUMBER(F57),6.7,0)+IF(ISNUMBER(F63),6.7,0)+IF(ISNUMBER(F69),6.6,0)))</f>
        <v/>
      </c>
      <c r="G75" s="39" t="str">
        <f>IF((IF(ISNUMBER(G57),6.7,0)+IF(ISNUMBER(G63),6.7,0)+IF(ISNUMBER(G69),6.6,0))=0,"",(IF(ISNUMBER(G57),G57*6.7,0)+IF(ISNUMBER(G63),G63*6.7,0)+IF(ISNUMBER(G69),G69*6.6,0))/(IF(ISNUMBER(G57),6.7,0)+IF(ISNUMBER(G63),6.7,0)+IF(ISNUMBER(G69),6.6,0)))</f>
        <v/>
      </c>
      <c r="H75" s="39" t="str">
        <f>IF((IF(ISNUMBER(H57),6.7,0)+IF(ISNUMBER(H63),6.7,0)+IF(ISNUMBER(H69),6.6,0))=0,"",(IF(ISNUMBER(H57),H57*6.7,0)+IF(ISNUMBER(H63),H63*6.7,0)+IF(ISNUMBER(H69),H69*6.6,0))/(IF(ISNUMBER(H57),6.7,0)+IF(ISNUMBER(H63),6.7,0)+IF(ISNUMBER(H69),6.6,0)))</f>
        <v/>
      </c>
      <c r="I75" s="39" t="str">
        <f>IF((IF(ISNUMBER(I57),6.7,0)+IF(ISNUMBER(I63),6.7,0)+IF(ISNUMBER(I69),6.6,0))=0,"",(IF(ISNUMBER(I57),I57*6.7,0)+IF(ISNUMBER(I63),I63*6.7,0)+IF(ISNUMBER(I69),I69*6.6,0))/(IF(ISNUMBER(I57),6.7,0)+IF(ISNUMBER(I63),6.7,0)+IF(ISNUMBER(I69),6.6,0)))</f>
        <v/>
      </c>
      <c r="J75" s="39" t="str">
        <f>IF((IF(ISNUMBER(J57),6.7,0)+IF(ISNUMBER(J63),6.7,0)+IF(ISNUMBER(J69),6.6,0))=0,"",(IF(ISNUMBER(J57),J57*6.7,0)+IF(ISNUMBER(J63),J63*6.7,0)+IF(ISNUMBER(J69),J69*6.6,0))/(IF(ISNUMBER(J57),6.7,0)+IF(ISNUMBER(J63),6.7,0)+IF(ISNUMBER(J69),6.6,0)))</f>
        <v/>
      </c>
      <c r="K75" s="39" t="str">
        <f>IF((IF(ISNUMBER(K57),6.7,0)+IF(ISNUMBER(K63),6.7,0)+IF(ISNUMBER(K69),6.6,0))=0,"",(IF(ISNUMBER(K57),K57*6.7,0)+IF(ISNUMBER(K63),K63*6.7,0)+IF(ISNUMBER(K69),K69*6.6,0))/(IF(ISNUMBER(K57),6.7,0)+IF(ISNUMBER(K63),6.7,0)+IF(ISNUMBER(K69),6.6,0)))</f>
        <v/>
      </c>
      <c r="L75" s="39" t="str">
        <f>IF((IF(ISNUMBER(L57),6.7,0)+IF(ISNUMBER(L63),6.7,0)+IF(ISNUMBER(L69),6.6,0))=0,"",(IF(ISNUMBER(L57),L57*6.7,0)+IF(ISNUMBER(L63),L63*6.7,0)+IF(ISNUMBER(L69),L69*6.6,0))/(IF(ISNUMBER(L57),6.7,0)+IF(ISNUMBER(L63),6.7,0)+IF(ISNUMBER(L69),6.6,0)))</f>
        <v/>
      </c>
      <c r="M75" s="39" t="str">
        <f>IF((IF(ISNUMBER(M57),6.7,0)+IF(ISNUMBER(M63),6.7,0)+IF(ISNUMBER(M69),6.6,0))=0,"",(IF(ISNUMBER(M57),M57*6.7,0)+IF(ISNUMBER(M63),M63*6.7,0)+IF(ISNUMBER(M69),M69*6.6,0))/(IF(ISNUMBER(M57),6.7,0)+IF(ISNUMBER(M63),6.7,0)+IF(ISNUMBER(M69),6.6,0)))</f>
        <v/>
      </c>
      <c r="N75" s="39" t="str">
        <f>IF((IF(ISNUMBER(N57),6.7,0)+IF(ISNUMBER(N63),6.7,0)+IF(ISNUMBER(N69),6.6,0))=0,"",(IF(ISNUMBER(N57),N57*6.7,0)+IF(ISNUMBER(N63),N63*6.7,0)+IF(ISNUMBER(N69),N69*6.6,0))/(IF(ISNUMBER(N57),6.7,0)+IF(ISNUMBER(N63),6.7,0)+IF(ISNUMBER(N69),6.6,0)))</f>
        <v/>
      </c>
      <c r="O75" s="39" t="str">
        <f>IF((IF(ISNUMBER(O57),6.7,0)+IF(ISNUMBER(O63),6.7,0)+IF(ISNUMBER(O69),6.6,0))=0,"",(IF(ISNUMBER(O57),O57*6.7,0)+IF(ISNUMBER(O63),O63*6.7,0)+IF(ISNUMBER(O69),O69*6.6,0))/(IF(ISNUMBER(O57),6.7,0)+IF(ISNUMBER(O63),6.7,0)+IF(ISNUMBER(O69),6.6,0)))</f>
        <v/>
      </c>
      <c r="P75" s="39" t="str">
        <f>IF((IF(ISNUMBER(P57),6.7,0)+IF(ISNUMBER(P63),6.7,0)+IF(ISNUMBER(P69),6.6,0))=0,"",(IF(ISNUMBER(P57),P57*6.7,0)+IF(ISNUMBER(P63),P63*6.7,0)+IF(ISNUMBER(P69),P69*6.6,0))/(IF(ISNUMBER(P57),6.7,0)+IF(ISNUMBER(P63),6.7,0)+IF(ISNUMBER(P69),6.6,0)))</f>
        <v/>
      </c>
      <c r="Q75" s="39" t="str">
        <f>IF((IF(ISNUMBER(Q57),6.7,0)+IF(ISNUMBER(Q63),6.7,0)+IF(ISNUMBER(Q69),6.6,0))=0,"",(IF(ISNUMBER(Q57),Q57*6.7,0)+IF(ISNUMBER(Q63),Q63*6.7,0)+IF(ISNUMBER(Q69),Q69*6.6,0))/(IF(ISNUMBER(Q57),6.7,0)+IF(ISNUMBER(Q63),6.7,0)+IF(ISNUMBER(Q69),6.6,0)))</f>
        <v/>
      </c>
      <c r="R75" s="39" t="str">
        <f>IF((IF(ISNUMBER(R57),6.7,0)+IF(ISNUMBER(R63),6.7,0)+IF(ISNUMBER(R69),6.6,0))=0,"",(IF(ISNUMBER(R57),R57*6.7,0)+IF(ISNUMBER(R63),R63*6.7,0)+IF(ISNUMBER(R69),R69*6.6,0))/(IF(ISNUMBER(R57),6.7,0)+IF(ISNUMBER(R63),6.7,0)+IF(ISNUMBER(R69),6.6,0)))</f>
        <v/>
      </c>
      <c r="S75" s="39" t="str">
        <f>IF((IF(ISNUMBER(S57),6.7,0)+IF(ISNUMBER(S63),6.7,0)+IF(ISNUMBER(S69),6.6,0))=0,"",(IF(ISNUMBER(S57),S57*6.7,0)+IF(ISNUMBER(S63),S63*6.7,0)+IF(ISNUMBER(S69),S69*6.6,0))/(IF(ISNUMBER(S57),6.7,0)+IF(ISNUMBER(S63),6.7,0)+IF(ISNUMBER(S69),6.6,0)))</f>
        <v/>
      </c>
      <c r="T75" s="39" t="str">
        <f>IF((IF(ISNUMBER(T57),6.7,0)+IF(ISNUMBER(T63),6.7,0)+IF(ISNUMBER(T69),6.6,0))=0,"",(IF(ISNUMBER(T57),T57*6.7,0)+IF(ISNUMBER(T63),T63*6.7,0)+IF(ISNUMBER(T69),T69*6.6,0))/(IF(ISNUMBER(T57),6.7,0)+IF(ISNUMBER(T63),6.7,0)+IF(ISNUMBER(T69),6.6,0)))</f>
        <v/>
      </c>
      <c r="U75" s="39" t="str">
        <f>IF((IF(ISNUMBER(U57),6.7,0)+IF(ISNUMBER(U63),6.7,0)+IF(ISNUMBER(U69),6.6,0))=0,"",(IF(ISNUMBER(U57),U57*6.7,0)+IF(ISNUMBER(U63),U63*6.7,0)+IF(ISNUMBER(U69),U69*6.6,0))/(IF(ISNUMBER(U57),6.7,0)+IF(ISNUMBER(U63),6.7,0)+IF(ISNUMBER(U69),6.6,0)))</f>
        <v/>
      </c>
      <c r="V75" s="39" t="str">
        <f>IF((IF(ISNUMBER(V57),6.7,0)+IF(ISNUMBER(V63),6.7,0)+IF(ISNUMBER(V69),6.6,0))=0,"",(IF(ISNUMBER(V57),V57*6.7,0)+IF(ISNUMBER(V63),V63*6.7,0)+IF(ISNUMBER(V69),V69*6.6,0))/(IF(ISNUMBER(V57),6.7,0)+IF(ISNUMBER(V63),6.7,0)+IF(ISNUMBER(V69),6.6,0)))</f>
        <v/>
      </c>
      <c r="W75" s="39" t="str">
        <f>IF((IF(ISNUMBER(W57),6.7,0)+IF(ISNUMBER(W63),6.7,0)+IF(ISNUMBER(W69),6.6,0))=0,"",(IF(ISNUMBER(W57),W57*6.7,0)+IF(ISNUMBER(W63),W63*6.7,0)+IF(ISNUMBER(W69),W69*6.6,0))/(IF(ISNUMBER(W57),6.7,0)+IF(ISNUMBER(W63),6.7,0)+IF(ISNUMBER(W69),6.6,0)))</f>
        <v/>
      </c>
      <c r="X75" s="39" t="str">
        <f>IF((IF(ISNUMBER(X57),6.7,0)+IF(ISNUMBER(X63),6.7,0)+IF(ISNUMBER(X69),6.6,0))=0,"",(IF(ISNUMBER(X57),X57*6.7,0)+IF(ISNUMBER(X63),X63*6.7,0)+IF(ISNUMBER(X69),X69*6.6,0))/(IF(ISNUMBER(X57),6.7,0)+IF(ISNUMBER(X63),6.7,0)+IF(ISNUMBER(X69),6.6,0)))</f>
        <v/>
      </c>
      <c r="Y75" s="39" t="str">
        <f>IF((IF(ISNUMBER(Y57),6.7,0)+IF(ISNUMBER(Y63),6.7,0)+IF(ISNUMBER(Y69),6.6,0))=0,"",(IF(ISNUMBER(Y57),Y57*6.7,0)+IF(ISNUMBER(Y63),Y63*6.7,0)+IF(ISNUMBER(Y69),Y69*6.6,0))/(IF(ISNUMBER(Y57),6.7,0)+IF(ISNUMBER(Y63),6.7,0)+IF(ISNUMBER(Y69),6.6,0)))</f>
        <v/>
      </c>
      <c r="Z75" s="39" t="str">
        <f>_xlfn.IFERROR(AVERAGE(E75:Y75),"")</f>
        <v/>
      </c>
    </row>
    <row r="76" spans="8:8" ht="20.0" customHeight="1">
      <c r="A76" s="18" t="s">
        <v>627</v>
      </c>
    </row>
    <row r="77" spans="8:8" ht="40.0" customHeight="1">
      <c r="A77" s="28"/>
      <c r="B77" s="29" t="s">
        <v>628</v>
      </c>
      <c r="C77" s="30" t="s">
        <v>629</v>
      </c>
      <c r="D77" s="29">
        <v>10.0</v>
      </c>
      <c r="E77" s="31" t="str">
        <f>IF(COUNTA(E78:E82)=0,"",COUNTIF(E78:E82,"Ya")/5*100)</f>
        <v/>
      </c>
      <c r="F77" s="31" t="str">
        <f>IF(COUNTA(F78:F82)=0,"",COUNTIF(F78:F82,"Ya")/5*100)</f>
        <v/>
      </c>
      <c r="G77" s="31" t="str">
        <f>IF(COUNTA(G78:G82)=0,"",COUNTIF(G78:G82,"Ya")/5*100)</f>
        <v/>
      </c>
      <c r="H77" s="31" t="str">
        <f>IF(COUNTA(H78:H82)=0,"",COUNTIF(H78:H82,"Ya")/5*100)</f>
        <v/>
      </c>
      <c r="I77" s="31" t="str">
        <f>IF(COUNTA(I78:I82)=0,"",COUNTIF(I78:I82,"Ya")/5*100)</f>
        <v/>
      </c>
      <c r="J77" s="31" t="str">
        <f>IF(COUNTA(J78:J82)=0,"",COUNTIF(J78:J82,"Ya")/5*100)</f>
        <v/>
      </c>
      <c r="K77" s="31" t="str">
        <f>IF(COUNTA(K78:K82)=0,"",COUNTIF(K78:K82,"Ya")/5*100)</f>
        <v/>
      </c>
      <c r="L77" s="31" t="str">
        <f>IF(COUNTA(L78:L82)=0,"",COUNTIF(L78:L82,"Ya")/5*100)</f>
        <v/>
      </c>
      <c r="M77" s="31" t="str">
        <f>IF(COUNTA(M78:M82)=0,"",COUNTIF(M78:M82,"Ya")/5*100)</f>
        <v/>
      </c>
      <c r="N77" s="31" t="str">
        <f>IF(COUNTA(N78:N82)=0,"",COUNTIF(N78:N82,"Ya")/5*100)</f>
        <v/>
      </c>
      <c r="O77" s="31" t="str">
        <f>IF(COUNTA(O78:O82)=0,"",COUNTIF(O78:O82,"Ya")/5*100)</f>
        <v/>
      </c>
      <c r="P77" s="31" t="str">
        <f>IF(COUNTA(P78:P82)=0,"",COUNTIF(P78:P82,"Ya")/5*100)</f>
        <v/>
      </c>
      <c r="Q77" s="31" t="str">
        <f>IF(COUNTA(Q78:Q82)=0,"",COUNTIF(Q78:Q82,"Ya")/5*100)</f>
        <v/>
      </c>
      <c r="R77" s="31" t="str">
        <f>IF(COUNTA(R78:R82)=0,"",COUNTIF(R78:R82,"Ya")/5*100)</f>
        <v/>
      </c>
      <c r="S77" s="31" t="str">
        <f>IF(COUNTA(S78:S82)=0,"",COUNTIF(S78:S82,"Ya")/5*100)</f>
        <v/>
      </c>
      <c r="T77" s="31" t="str">
        <f>IF(COUNTA(T78:T82)=0,"",COUNTIF(T78:T82,"Ya")/5*100)</f>
        <v/>
      </c>
      <c r="U77" s="31" t="str">
        <f>IF(COUNTA(U78:U82)=0,"",COUNTIF(U78:U82,"Ya")/5*100)</f>
        <v/>
      </c>
      <c r="V77" s="31" t="str">
        <f>IF(COUNTA(V78:V82)=0,"",COUNTIF(V78:V82,"Ya")/5*100)</f>
        <v/>
      </c>
      <c r="W77" s="31" t="str">
        <f>IF(COUNTA(W78:W82)=0,"",COUNTIF(W78:W82,"Ya")/5*100)</f>
        <v/>
      </c>
      <c r="X77" s="31" t="str">
        <f>IF(COUNTA(X78:X82)=0,"",COUNTIF(X78:X82,"Ya")/5*100)</f>
        <v/>
      </c>
      <c r="Y77" s="31" t="str">
        <f>IF(COUNTA(Y78:Y82)=0,"",COUNTIF(Y78:Y82,"Ya")/5*100)</f>
        <v/>
      </c>
      <c r="Z77" s="31" t="str">
        <f>_xlfn.IFERROR(AVERAGE(E77:Y77),"")</f>
        <v/>
      </c>
    </row>
    <row r="78" spans="8:8" ht="25.0" customHeight="1">
      <c r="A78" s="32"/>
      <c r="B78" s="33" t="s">
        <v>630</v>
      </c>
      <c r="C78" s="34" t="s">
        <v>631</v>
      </c>
      <c r="D78" s="32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spans="8:8" ht="25.0" customHeight="1">
      <c r="A79" s="32"/>
      <c r="B79" s="33" t="s">
        <v>632</v>
      </c>
      <c r="C79" s="34" t="s">
        <v>633</v>
      </c>
      <c r="D79" s="32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spans="8:8" ht="25.0" customHeight="1">
      <c r="A80" s="32"/>
      <c r="B80" s="33" t="s">
        <v>634</v>
      </c>
      <c r="C80" s="34" t="s">
        <v>635</v>
      </c>
      <c r="D80" s="32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spans="8:8" ht="25.0" customHeight="1">
      <c r="A81" s="32"/>
      <c r="B81" s="33" t="s">
        <v>636</v>
      </c>
      <c r="C81" s="34" t="s">
        <v>637</v>
      </c>
      <c r="D81" s="32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8:8" ht="25.0" customHeight="1">
      <c r="A82" s="32"/>
      <c r="B82" s="33" t="s">
        <v>638</v>
      </c>
      <c r="C82" s="34" t="s">
        <v>639</v>
      </c>
      <c r="D82" s="32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8:8" ht="28.0" customHeight="1">
      <c r="A83" s="28"/>
      <c r="B83" s="29" t="s">
        <v>640</v>
      </c>
      <c r="C83" s="30" t="s">
        <v>641</v>
      </c>
      <c r="D83" s="29">
        <v>10.0</v>
      </c>
      <c r="E83" s="31" t="str">
        <f>IF(COUNTA(E84:E88)=0,"",COUNTIF(E84:E88,"Ya")/5*100)</f>
        <v/>
      </c>
      <c r="F83" s="31" t="str">
        <f>IF(COUNTA(F84:F88)=0,"",COUNTIF(F84:F88,"Ya")/5*100)</f>
        <v/>
      </c>
      <c r="G83" s="31" t="str">
        <f>IF(COUNTA(G84:G88)=0,"",COUNTIF(G84:G88,"Ya")/5*100)</f>
        <v/>
      </c>
      <c r="H83" s="31" t="str">
        <f>IF(COUNTA(H84:H88)=0,"",COUNTIF(H84:H88,"Ya")/5*100)</f>
        <v/>
      </c>
      <c r="I83" s="31" t="str">
        <f>IF(COUNTA(I84:I88)=0,"",COUNTIF(I84:I88,"Ya")/5*100)</f>
        <v/>
      </c>
      <c r="J83" s="31" t="str">
        <f>IF(COUNTA(J84:J88)=0,"",COUNTIF(J84:J88,"Ya")/5*100)</f>
        <v/>
      </c>
      <c r="K83" s="31" t="str">
        <f>IF(COUNTA(K84:K88)=0,"",COUNTIF(K84:K88,"Ya")/5*100)</f>
        <v/>
      </c>
      <c r="L83" s="31" t="str">
        <f>IF(COUNTA(L84:L88)=0,"",COUNTIF(L84:L88,"Ya")/5*100)</f>
        <v/>
      </c>
      <c r="M83" s="31" t="str">
        <f>IF(COUNTA(M84:M88)=0,"",COUNTIF(M84:M88,"Ya")/5*100)</f>
        <v/>
      </c>
      <c r="N83" s="31" t="str">
        <f>IF(COUNTA(N84:N88)=0,"",COUNTIF(N84:N88,"Ya")/5*100)</f>
        <v/>
      </c>
      <c r="O83" s="31" t="str">
        <f>IF(COUNTA(O84:O88)=0,"",COUNTIF(O84:O88,"Ya")/5*100)</f>
        <v/>
      </c>
      <c r="P83" s="31" t="str">
        <f>IF(COUNTA(P84:P88)=0,"",COUNTIF(P84:P88,"Ya")/5*100)</f>
        <v/>
      </c>
      <c r="Q83" s="31" t="str">
        <f>IF(COUNTA(Q84:Q88)=0,"",COUNTIF(Q84:Q88,"Ya")/5*100)</f>
        <v/>
      </c>
      <c r="R83" s="31" t="str">
        <f>IF(COUNTA(R84:R88)=0,"",COUNTIF(R84:R88,"Ya")/5*100)</f>
        <v/>
      </c>
      <c r="S83" s="31" t="str">
        <f>IF(COUNTA(S84:S88)=0,"",COUNTIF(S84:S88,"Ya")/5*100)</f>
        <v/>
      </c>
      <c r="T83" s="31" t="str">
        <f>IF(COUNTA(T84:T88)=0,"",COUNTIF(T84:T88,"Ya")/5*100)</f>
        <v/>
      </c>
      <c r="U83" s="31" t="str">
        <f>IF(COUNTA(U84:U88)=0,"",COUNTIF(U84:U88,"Ya")/5*100)</f>
        <v/>
      </c>
      <c r="V83" s="31" t="str">
        <f>IF(COUNTA(V84:V88)=0,"",COUNTIF(V84:V88,"Ya")/5*100)</f>
        <v/>
      </c>
      <c r="W83" s="31" t="str">
        <f>IF(COUNTA(W84:W88)=0,"",COUNTIF(W84:W88,"Ya")/5*100)</f>
        <v/>
      </c>
      <c r="X83" s="31" t="str">
        <f>IF(COUNTA(X84:X88)=0,"",COUNTIF(X84:X88,"Ya")/5*100)</f>
        <v/>
      </c>
      <c r="Y83" s="31" t="str">
        <f>IF(COUNTA(Y84:Y88)=0,"",COUNTIF(Y84:Y88,"Ya")/5*100)</f>
        <v/>
      </c>
      <c r="Z83" s="31" t="str">
        <f>_xlfn.IFERROR(AVERAGE(E83:Y83),"")</f>
        <v/>
      </c>
    </row>
    <row r="84" spans="8:8" ht="25.0" customHeight="1">
      <c r="A84" s="32"/>
      <c r="B84" s="33" t="s">
        <v>642</v>
      </c>
      <c r="C84" s="34" t="s">
        <v>643</v>
      </c>
      <c r="D84" s="32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spans="8:8" ht="25.0" customHeight="1">
      <c r="A85" s="32"/>
      <c r="B85" s="33" t="s">
        <v>644</v>
      </c>
      <c r="C85" s="34" t="s">
        <v>645</v>
      </c>
      <c r="D85" s="32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spans="8:8" ht="25.0" customHeight="1">
      <c r="A86" s="32"/>
      <c r="B86" s="33" t="s">
        <v>646</v>
      </c>
      <c r="C86" s="34" t="s">
        <v>647</v>
      </c>
      <c r="D86" s="32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spans="8:8" ht="25.0" customHeight="1">
      <c r="A87" s="32"/>
      <c r="B87" s="33" t="s">
        <v>648</v>
      </c>
      <c r="C87" s="34" t="s">
        <v>649</v>
      </c>
      <c r="D87" s="32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spans="8:8" ht="25.0" customHeight="1">
      <c r="A88" s="32"/>
      <c r="B88" s="33" t="s">
        <v>650</v>
      </c>
      <c r="C88" s="34" t="s">
        <v>651</v>
      </c>
      <c r="D88" s="32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spans="8:8" ht="18.0" customHeight="1">
      <c r="A89" s="36"/>
      <c r="B89" s="36"/>
      <c r="C89" s="37" t="s">
        <v>652</v>
      </c>
      <c r="D89" s="38">
        <v>20.0</v>
      </c>
      <c r="E89" s="39" t="str">
        <f>IF((IF(ISNUMBER(E77),10,0)+IF(ISNUMBER(E83),10,0))=0,"",(IF(ISNUMBER(E77),E77*10,0)+IF(ISNUMBER(E83),E83*10,0))/(IF(ISNUMBER(E77),10,0)+IF(ISNUMBER(E83),10,0)))</f>
        <v/>
      </c>
      <c r="F89" s="39" t="str">
        <f>IF((IF(ISNUMBER(F77),10,0)+IF(ISNUMBER(F83),10,0))=0,"",(IF(ISNUMBER(F77),F77*10,0)+IF(ISNUMBER(F83),F83*10,0))/(IF(ISNUMBER(F77),10,0)+IF(ISNUMBER(F83),10,0)))</f>
        <v/>
      </c>
      <c r="G89" s="39" t="str">
        <f>IF((IF(ISNUMBER(G77),10,0)+IF(ISNUMBER(G83),10,0))=0,"",(IF(ISNUMBER(G77),G77*10,0)+IF(ISNUMBER(G83),G83*10,0))/(IF(ISNUMBER(G77),10,0)+IF(ISNUMBER(G83),10,0)))</f>
        <v/>
      </c>
      <c r="H89" s="39" t="str">
        <f>IF((IF(ISNUMBER(H77),10,0)+IF(ISNUMBER(H83),10,0))=0,"",(IF(ISNUMBER(H77),H77*10,0)+IF(ISNUMBER(H83),H83*10,0))/(IF(ISNUMBER(H77),10,0)+IF(ISNUMBER(H83),10,0)))</f>
        <v/>
      </c>
      <c r="I89" s="39" t="str">
        <f>IF((IF(ISNUMBER(I77),10,0)+IF(ISNUMBER(I83),10,0))=0,"",(IF(ISNUMBER(I77),I77*10,0)+IF(ISNUMBER(I83),I83*10,0))/(IF(ISNUMBER(I77),10,0)+IF(ISNUMBER(I83),10,0)))</f>
        <v/>
      </c>
      <c r="J89" s="39" t="str">
        <f>IF((IF(ISNUMBER(J77),10,0)+IF(ISNUMBER(J83),10,0))=0,"",(IF(ISNUMBER(J77),J77*10,0)+IF(ISNUMBER(J83),J83*10,0))/(IF(ISNUMBER(J77),10,0)+IF(ISNUMBER(J83),10,0)))</f>
        <v/>
      </c>
      <c r="K89" s="39" t="str">
        <f>IF((IF(ISNUMBER(K77),10,0)+IF(ISNUMBER(K83),10,0))=0,"",(IF(ISNUMBER(K77),K77*10,0)+IF(ISNUMBER(K83),K83*10,0))/(IF(ISNUMBER(K77),10,0)+IF(ISNUMBER(K83),10,0)))</f>
        <v/>
      </c>
      <c r="L89" s="39" t="str">
        <f>IF((IF(ISNUMBER(L77),10,0)+IF(ISNUMBER(L83),10,0))=0,"",(IF(ISNUMBER(L77),L77*10,0)+IF(ISNUMBER(L83),L83*10,0))/(IF(ISNUMBER(L77),10,0)+IF(ISNUMBER(L83),10,0)))</f>
        <v/>
      </c>
      <c r="M89" s="39" t="str">
        <f>IF((IF(ISNUMBER(M77),10,0)+IF(ISNUMBER(M83),10,0))=0,"",(IF(ISNUMBER(M77),M77*10,0)+IF(ISNUMBER(M83),M83*10,0))/(IF(ISNUMBER(M77),10,0)+IF(ISNUMBER(M83),10,0)))</f>
        <v/>
      </c>
      <c r="N89" s="39" t="str">
        <f>IF((IF(ISNUMBER(N77),10,0)+IF(ISNUMBER(N83),10,0))=0,"",(IF(ISNUMBER(N77),N77*10,0)+IF(ISNUMBER(N83),N83*10,0))/(IF(ISNUMBER(N77),10,0)+IF(ISNUMBER(N83),10,0)))</f>
        <v/>
      </c>
      <c r="O89" s="39" t="str">
        <f>IF((IF(ISNUMBER(O77),10,0)+IF(ISNUMBER(O83),10,0))=0,"",(IF(ISNUMBER(O77),O77*10,0)+IF(ISNUMBER(O83),O83*10,0))/(IF(ISNUMBER(O77),10,0)+IF(ISNUMBER(O83),10,0)))</f>
        <v/>
      </c>
      <c r="P89" s="39" t="str">
        <f>IF((IF(ISNUMBER(P77),10,0)+IF(ISNUMBER(P83),10,0))=0,"",(IF(ISNUMBER(P77),P77*10,0)+IF(ISNUMBER(P83),P83*10,0))/(IF(ISNUMBER(P77),10,0)+IF(ISNUMBER(P83),10,0)))</f>
        <v/>
      </c>
      <c r="Q89" s="39" t="str">
        <f>IF((IF(ISNUMBER(Q77),10,0)+IF(ISNUMBER(Q83),10,0))=0,"",(IF(ISNUMBER(Q77),Q77*10,0)+IF(ISNUMBER(Q83),Q83*10,0))/(IF(ISNUMBER(Q77),10,0)+IF(ISNUMBER(Q83),10,0)))</f>
        <v/>
      </c>
      <c r="R89" s="39" t="str">
        <f>IF((IF(ISNUMBER(R77),10,0)+IF(ISNUMBER(R83),10,0))=0,"",(IF(ISNUMBER(R77),R77*10,0)+IF(ISNUMBER(R83),R83*10,0))/(IF(ISNUMBER(R77),10,0)+IF(ISNUMBER(R83),10,0)))</f>
        <v/>
      </c>
      <c r="S89" s="39" t="str">
        <f>IF((IF(ISNUMBER(S77),10,0)+IF(ISNUMBER(S83),10,0))=0,"",(IF(ISNUMBER(S77),S77*10,0)+IF(ISNUMBER(S83),S83*10,0))/(IF(ISNUMBER(S77),10,0)+IF(ISNUMBER(S83),10,0)))</f>
        <v/>
      </c>
      <c r="T89" s="39" t="str">
        <f>IF((IF(ISNUMBER(T77),10,0)+IF(ISNUMBER(T83),10,0))=0,"",(IF(ISNUMBER(T77),T77*10,0)+IF(ISNUMBER(T83),T83*10,0))/(IF(ISNUMBER(T77),10,0)+IF(ISNUMBER(T83),10,0)))</f>
        <v/>
      </c>
      <c r="U89" s="39" t="str">
        <f>IF((IF(ISNUMBER(U77),10,0)+IF(ISNUMBER(U83),10,0))=0,"",(IF(ISNUMBER(U77),U77*10,0)+IF(ISNUMBER(U83),U83*10,0))/(IF(ISNUMBER(U77),10,0)+IF(ISNUMBER(U83),10,0)))</f>
        <v/>
      </c>
      <c r="V89" s="39" t="str">
        <f>IF((IF(ISNUMBER(V77),10,0)+IF(ISNUMBER(V83),10,0))=0,"",(IF(ISNUMBER(V77),V77*10,0)+IF(ISNUMBER(V83),V83*10,0))/(IF(ISNUMBER(V77),10,0)+IF(ISNUMBER(V83),10,0)))</f>
        <v/>
      </c>
      <c r="W89" s="39" t="str">
        <f>IF((IF(ISNUMBER(W77),10,0)+IF(ISNUMBER(W83),10,0))=0,"",(IF(ISNUMBER(W77),W77*10,0)+IF(ISNUMBER(W83),W83*10,0))/(IF(ISNUMBER(W77),10,0)+IF(ISNUMBER(W83),10,0)))</f>
        <v/>
      </c>
      <c r="X89" s="39" t="str">
        <f>IF((IF(ISNUMBER(X77),10,0)+IF(ISNUMBER(X83),10,0))=0,"",(IF(ISNUMBER(X77),X77*10,0)+IF(ISNUMBER(X83),X83*10,0))/(IF(ISNUMBER(X77),10,0)+IF(ISNUMBER(X83),10,0)))</f>
        <v/>
      </c>
      <c r="Y89" s="39" t="str">
        <f>IF((IF(ISNUMBER(Y77),10,0)+IF(ISNUMBER(Y83),10,0))=0,"",(IF(ISNUMBER(Y77),Y77*10,0)+IF(ISNUMBER(Y83),Y83*10,0))/(IF(ISNUMBER(Y77),10,0)+IF(ISNUMBER(Y83),10,0)))</f>
        <v/>
      </c>
      <c r="Z89" s="39" t="str">
        <f>_xlfn.IFERROR(AVERAGE(E89:Y89),"")</f>
        <v/>
      </c>
    </row>
    <row r="90" spans="8:8" ht="20.0" customHeight="1">
      <c r="A90" s="18" t="s">
        <v>653</v>
      </c>
    </row>
    <row r="91" spans="8:8" ht="28.0" customHeight="1">
      <c r="A91" s="28"/>
      <c r="B91" s="29" t="s">
        <v>654</v>
      </c>
      <c r="C91" s="30" t="s">
        <v>655</v>
      </c>
      <c r="D91" s="29">
        <v>6.7</v>
      </c>
      <c r="E91" s="31" t="str">
        <f>IF(COUNTA(E92:E96)=0,"",COUNTIF(E92:E96,"Ya")/5*100)</f>
        <v/>
      </c>
      <c r="F91" s="31" t="str">
        <f>IF(COUNTA(F92:F96)=0,"",COUNTIF(F92:F96,"Ya")/5*100)</f>
        <v/>
      </c>
      <c r="G91" s="31" t="str">
        <f>IF(COUNTA(G92:G96)=0,"",COUNTIF(G92:G96,"Ya")/5*100)</f>
        <v/>
      </c>
      <c r="H91" s="31" t="str">
        <f>IF(COUNTA(H92:H96)=0,"",COUNTIF(H92:H96,"Ya")/5*100)</f>
        <v/>
      </c>
      <c r="I91" s="31" t="str">
        <f>IF(COUNTA(I92:I96)=0,"",COUNTIF(I92:I96,"Ya")/5*100)</f>
        <v/>
      </c>
      <c r="J91" s="31" t="str">
        <f>IF(COUNTA(J92:J96)=0,"",COUNTIF(J92:J96,"Ya")/5*100)</f>
        <v/>
      </c>
      <c r="K91" s="31" t="str">
        <f>IF(COUNTA(K92:K96)=0,"",COUNTIF(K92:K96,"Ya")/5*100)</f>
        <v/>
      </c>
      <c r="L91" s="31" t="str">
        <f>IF(COUNTA(L92:L96)=0,"",COUNTIF(L92:L96,"Ya")/5*100)</f>
        <v/>
      </c>
      <c r="M91" s="31" t="str">
        <f>IF(COUNTA(M92:M96)=0,"",COUNTIF(M92:M96,"Ya")/5*100)</f>
        <v/>
      </c>
      <c r="N91" s="31" t="str">
        <f>IF(COUNTA(N92:N96)=0,"",COUNTIF(N92:N96,"Ya")/5*100)</f>
        <v/>
      </c>
      <c r="O91" s="31" t="str">
        <f>IF(COUNTA(O92:O96)=0,"",COUNTIF(O92:O96,"Ya")/5*100)</f>
        <v/>
      </c>
      <c r="P91" s="31" t="str">
        <f>IF(COUNTA(P92:P96)=0,"",COUNTIF(P92:P96,"Ya")/5*100)</f>
        <v/>
      </c>
      <c r="Q91" s="31" t="str">
        <f>IF(COUNTA(Q92:Q96)=0,"",COUNTIF(Q92:Q96,"Ya")/5*100)</f>
        <v/>
      </c>
      <c r="R91" s="31" t="str">
        <f>IF(COUNTA(R92:R96)=0,"",COUNTIF(R92:R96,"Ya")/5*100)</f>
        <v/>
      </c>
      <c r="S91" s="31" t="str">
        <f>IF(COUNTA(S92:S96)=0,"",COUNTIF(S92:S96,"Ya")/5*100)</f>
        <v/>
      </c>
      <c r="T91" s="31" t="str">
        <f>IF(COUNTA(T92:T96)=0,"",COUNTIF(T92:T96,"Ya")/5*100)</f>
        <v/>
      </c>
      <c r="U91" s="31" t="str">
        <f>IF(COUNTA(U92:U96)=0,"",COUNTIF(U92:U96,"Ya")/5*100)</f>
        <v/>
      </c>
      <c r="V91" s="31" t="str">
        <f>IF(COUNTA(V92:V96)=0,"",COUNTIF(V92:V96,"Ya")/5*100)</f>
        <v/>
      </c>
      <c r="W91" s="31" t="str">
        <f>IF(COUNTA(W92:W96)=0,"",COUNTIF(W92:W96,"Ya")/5*100)</f>
        <v/>
      </c>
      <c r="X91" s="31" t="str">
        <f>IF(COUNTA(X92:X96)=0,"",COUNTIF(X92:X96,"Ya")/5*100)</f>
        <v/>
      </c>
      <c r="Y91" s="31" t="str">
        <f>IF(COUNTA(Y92:Y96)=0,"",COUNTIF(Y92:Y96,"Ya")/5*100)</f>
        <v/>
      </c>
      <c r="Z91" s="31" t="str">
        <f>_xlfn.IFERROR(AVERAGE(E91:Y91),"")</f>
        <v/>
      </c>
    </row>
    <row r="92" spans="8:8" ht="25.0" customHeight="1">
      <c r="A92" s="32"/>
      <c r="B92" s="33" t="s">
        <v>656</v>
      </c>
      <c r="C92" s="34" t="s">
        <v>657</v>
      </c>
      <c r="D92" s="32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spans="8:8" ht="14.0" customHeight="1">
      <c r="A93" s="32"/>
      <c r="B93" s="33" t="s">
        <v>658</v>
      </c>
      <c r="C93" s="34" t="s">
        <v>659</v>
      </c>
      <c r="D93" s="32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spans="8:8" ht="25.0" customHeight="1">
      <c r="A94" s="32"/>
      <c r="B94" s="33" t="s">
        <v>660</v>
      </c>
      <c r="C94" s="34" t="s">
        <v>661</v>
      </c>
      <c r="D94" s="32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spans="8:8" ht="25.0" customHeight="1">
      <c r="A95" s="32"/>
      <c r="B95" s="33" t="s">
        <v>662</v>
      </c>
      <c r="C95" s="34" t="s">
        <v>663</v>
      </c>
      <c r="D95" s="32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spans="8:8" ht="25.0" customHeight="1">
      <c r="A96" s="32"/>
      <c r="B96" s="33" t="s">
        <v>664</v>
      </c>
      <c r="C96" s="34" t="s">
        <v>665</v>
      </c>
      <c r="D96" s="32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spans="8:8" ht="28.0" customHeight="1">
      <c r="A97" s="28"/>
      <c r="B97" s="29" t="s">
        <v>666</v>
      </c>
      <c r="C97" s="30" t="s">
        <v>667</v>
      </c>
      <c r="D97" s="29">
        <v>6.7</v>
      </c>
      <c r="E97" s="31" t="str">
        <f>IF(COUNTA(E98:E102)=0,"",COUNTIF(E98:E102,"Ya")/5*100)</f>
        <v/>
      </c>
      <c r="F97" s="31" t="str">
        <f>IF(COUNTA(F98:F102)=0,"",COUNTIF(F98:F102,"Ya")/5*100)</f>
        <v/>
      </c>
      <c r="G97" s="31" t="str">
        <f>IF(COUNTA(G98:G102)=0,"",COUNTIF(G98:G102,"Ya")/5*100)</f>
        <v/>
      </c>
      <c r="H97" s="31" t="str">
        <f>IF(COUNTA(H98:H102)=0,"",COUNTIF(H98:H102,"Ya")/5*100)</f>
        <v/>
      </c>
      <c r="I97" s="31" t="str">
        <f>IF(COUNTA(I98:I102)=0,"",COUNTIF(I98:I102,"Ya")/5*100)</f>
        <v/>
      </c>
      <c r="J97" s="31" t="str">
        <f>IF(COUNTA(J98:J102)=0,"",COUNTIF(J98:J102,"Ya")/5*100)</f>
        <v/>
      </c>
      <c r="K97" s="31" t="str">
        <f>IF(COUNTA(K98:K102)=0,"",COUNTIF(K98:K102,"Ya")/5*100)</f>
        <v/>
      </c>
      <c r="L97" s="31" t="str">
        <f>IF(COUNTA(L98:L102)=0,"",COUNTIF(L98:L102,"Ya")/5*100)</f>
        <v/>
      </c>
      <c r="M97" s="31" t="str">
        <f>IF(COUNTA(M98:M102)=0,"",COUNTIF(M98:M102,"Ya")/5*100)</f>
        <v/>
      </c>
      <c r="N97" s="31" t="str">
        <f>IF(COUNTA(N98:N102)=0,"",COUNTIF(N98:N102,"Ya")/5*100)</f>
        <v/>
      </c>
      <c r="O97" s="31" t="str">
        <f>IF(COUNTA(O98:O102)=0,"",COUNTIF(O98:O102,"Ya")/5*100)</f>
        <v/>
      </c>
      <c r="P97" s="31" t="str">
        <f>IF(COUNTA(P98:P102)=0,"",COUNTIF(P98:P102,"Ya")/5*100)</f>
        <v/>
      </c>
      <c r="Q97" s="31" t="str">
        <f>IF(COUNTA(Q98:Q102)=0,"",COUNTIF(Q98:Q102,"Ya")/5*100)</f>
        <v/>
      </c>
      <c r="R97" s="31" t="str">
        <f>IF(COUNTA(R98:R102)=0,"",COUNTIF(R98:R102,"Ya")/5*100)</f>
        <v/>
      </c>
      <c r="S97" s="31" t="str">
        <f>IF(COUNTA(S98:S102)=0,"",COUNTIF(S98:S102,"Ya")/5*100)</f>
        <v/>
      </c>
      <c r="T97" s="31" t="str">
        <f>IF(COUNTA(T98:T102)=0,"",COUNTIF(T98:T102,"Ya")/5*100)</f>
        <v/>
      </c>
      <c r="U97" s="31" t="str">
        <f>IF(COUNTA(U98:U102)=0,"",COUNTIF(U98:U102,"Ya")/5*100)</f>
        <v/>
      </c>
      <c r="V97" s="31" t="str">
        <f>IF(COUNTA(V98:V102)=0,"",COUNTIF(V98:V102,"Ya")/5*100)</f>
        <v/>
      </c>
      <c r="W97" s="31" t="str">
        <f>IF(COUNTA(W98:W102)=0,"",COUNTIF(W98:W102,"Ya")/5*100)</f>
        <v/>
      </c>
      <c r="X97" s="31" t="str">
        <f>IF(COUNTA(X98:X102)=0,"",COUNTIF(X98:X102,"Ya")/5*100)</f>
        <v/>
      </c>
      <c r="Y97" s="31" t="str">
        <f>IF(COUNTA(Y98:Y102)=0,"",COUNTIF(Y98:Y102,"Ya")/5*100)</f>
        <v/>
      </c>
      <c r="Z97" s="31" t="str">
        <f>_xlfn.IFERROR(AVERAGE(E97:Y97),"")</f>
        <v/>
      </c>
    </row>
    <row r="98" spans="8:8" ht="25.0" customHeight="1">
      <c r="A98" s="32"/>
      <c r="B98" s="33" t="s">
        <v>668</v>
      </c>
      <c r="C98" s="34" t="s">
        <v>669</v>
      </c>
      <c r="D98" s="32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spans="8:8" ht="25.0" customHeight="1">
      <c r="A99" s="32"/>
      <c r="B99" s="33" t="s">
        <v>670</v>
      </c>
      <c r="C99" s="34" t="s">
        <v>671</v>
      </c>
      <c r="D99" s="32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spans="8:8" ht="25.0" customHeight="1">
      <c r="A100" s="32"/>
      <c r="B100" s="33" t="s">
        <v>672</v>
      </c>
      <c r="C100" s="34" t="s">
        <v>673</v>
      </c>
      <c r="D100" s="32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spans="8:8" ht="25.0" customHeight="1">
      <c r="A101" s="32"/>
      <c r="B101" s="33" t="s">
        <v>674</v>
      </c>
      <c r="C101" s="34" t="s">
        <v>675</v>
      </c>
      <c r="D101" s="32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spans="8:8" ht="25.0" customHeight="1">
      <c r="A102" s="32"/>
      <c r="B102" s="33" t="s">
        <v>676</v>
      </c>
      <c r="C102" s="34" t="s">
        <v>677</v>
      </c>
      <c r="D102" s="32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spans="8:8" ht="28.0" customHeight="1">
      <c r="A103" s="28"/>
      <c r="B103" s="29" t="s">
        <v>678</v>
      </c>
      <c r="C103" s="30" t="s">
        <v>679</v>
      </c>
      <c r="D103" s="29">
        <v>6.6</v>
      </c>
      <c r="E103" s="31" t="str">
        <f>IF(COUNTA(E104:E108)=0,"",COUNTIF(E104:E108,"Ya")/5*100)</f>
        <v/>
      </c>
      <c r="F103" s="31" t="str">
        <f>IF(COUNTA(F104:F108)=0,"",COUNTIF(F104:F108,"Ya")/5*100)</f>
        <v/>
      </c>
      <c r="G103" s="31" t="str">
        <f>IF(COUNTA(G104:G108)=0,"",COUNTIF(G104:G108,"Ya")/5*100)</f>
        <v/>
      </c>
      <c r="H103" s="31" t="str">
        <f>IF(COUNTA(H104:H108)=0,"",COUNTIF(H104:H108,"Ya")/5*100)</f>
        <v/>
      </c>
      <c r="I103" s="31" t="str">
        <f>IF(COUNTA(I104:I108)=0,"",COUNTIF(I104:I108,"Ya")/5*100)</f>
        <v/>
      </c>
      <c r="J103" s="31" t="str">
        <f>IF(COUNTA(J104:J108)=0,"",COUNTIF(J104:J108,"Ya")/5*100)</f>
        <v/>
      </c>
      <c r="K103" s="31" t="str">
        <f>IF(COUNTA(K104:K108)=0,"",COUNTIF(K104:K108,"Ya")/5*100)</f>
        <v/>
      </c>
      <c r="L103" s="31" t="str">
        <f>IF(COUNTA(L104:L108)=0,"",COUNTIF(L104:L108,"Ya")/5*100)</f>
        <v/>
      </c>
      <c r="M103" s="31" t="str">
        <f>IF(COUNTA(M104:M108)=0,"",COUNTIF(M104:M108,"Ya")/5*100)</f>
        <v/>
      </c>
      <c r="N103" s="31" t="str">
        <f>IF(COUNTA(N104:N108)=0,"",COUNTIF(N104:N108,"Ya")/5*100)</f>
        <v/>
      </c>
      <c r="O103" s="31" t="str">
        <f>IF(COUNTA(O104:O108)=0,"",COUNTIF(O104:O108,"Ya")/5*100)</f>
        <v/>
      </c>
      <c r="P103" s="31" t="str">
        <f>IF(COUNTA(P104:P108)=0,"",COUNTIF(P104:P108,"Ya")/5*100)</f>
        <v/>
      </c>
      <c r="Q103" s="31" t="str">
        <f>IF(COUNTA(Q104:Q108)=0,"",COUNTIF(Q104:Q108,"Ya")/5*100)</f>
        <v/>
      </c>
      <c r="R103" s="31" t="str">
        <f>IF(COUNTA(R104:R108)=0,"",COUNTIF(R104:R108,"Ya")/5*100)</f>
        <v/>
      </c>
      <c r="S103" s="31" t="str">
        <f>IF(COUNTA(S104:S108)=0,"",COUNTIF(S104:S108,"Ya")/5*100)</f>
        <v/>
      </c>
      <c r="T103" s="31" t="str">
        <f>IF(COUNTA(T104:T108)=0,"",COUNTIF(T104:T108,"Ya")/5*100)</f>
        <v/>
      </c>
      <c r="U103" s="31" t="str">
        <f>IF(COUNTA(U104:U108)=0,"",COUNTIF(U104:U108,"Ya")/5*100)</f>
        <v/>
      </c>
      <c r="V103" s="31" t="str">
        <f>IF(COUNTA(V104:V108)=0,"",COUNTIF(V104:V108,"Ya")/5*100)</f>
        <v/>
      </c>
      <c r="W103" s="31" t="str">
        <f>IF(COUNTA(W104:W108)=0,"",COUNTIF(W104:W108,"Ya")/5*100)</f>
        <v/>
      </c>
      <c r="X103" s="31" t="str">
        <f>IF(COUNTA(X104:X108)=0,"",COUNTIF(X104:X108,"Ya")/5*100)</f>
        <v/>
      </c>
      <c r="Y103" s="31" t="str">
        <f>IF(COUNTA(Y104:Y108)=0,"",COUNTIF(Y104:Y108,"Ya")/5*100)</f>
        <v/>
      </c>
      <c r="Z103" s="31" t="str">
        <f>_xlfn.IFERROR(AVERAGE(E103:Y103),"")</f>
        <v/>
      </c>
    </row>
    <row r="104" spans="8:8" ht="14.0" customHeight="1">
      <c r="A104" s="32"/>
      <c r="B104" s="33" t="s">
        <v>680</v>
      </c>
      <c r="C104" s="34" t="s">
        <v>681</v>
      </c>
      <c r="D104" s="32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spans="8:8" ht="25.0" customHeight="1">
      <c r="A105" s="32"/>
      <c r="B105" s="33" t="s">
        <v>682</v>
      </c>
      <c r="C105" s="34" t="s">
        <v>683</v>
      </c>
      <c r="D105" s="32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spans="8:8" ht="25.0" customHeight="1">
      <c r="A106" s="32"/>
      <c r="B106" s="33" t="s">
        <v>684</v>
      </c>
      <c r="C106" s="34" t="s">
        <v>685</v>
      </c>
      <c r="D106" s="32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spans="8:8" ht="25.0" customHeight="1">
      <c r="A107" s="32"/>
      <c r="B107" s="33" t="s">
        <v>686</v>
      </c>
      <c r="C107" s="34" t="s">
        <v>687</v>
      </c>
      <c r="D107" s="32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spans="8:8" ht="25.0" customHeight="1">
      <c r="A108" s="32"/>
      <c r="B108" s="33" t="s">
        <v>688</v>
      </c>
      <c r="C108" s="34" t="s">
        <v>689</v>
      </c>
      <c r="D108" s="32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spans="8:8" ht="18.0" customHeight="1">
      <c r="A109" s="36"/>
      <c r="B109" s="36"/>
      <c r="C109" s="37" t="s">
        <v>690</v>
      </c>
      <c r="D109" s="38">
        <v>20.0</v>
      </c>
      <c r="E109" s="39" t="str">
        <f>IF((IF(ISNUMBER(E91),6.7,0)+IF(ISNUMBER(E97),6.7,0)+IF(ISNUMBER(E103),6.6,0))=0,"",(IF(ISNUMBER(E91),E91*6.7,0)+IF(ISNUMBER(E97),E97*6.7,0)+IF(ISNUMBER(E103),E103*6.6,0))/(IF(ISNUMBER(E91),6.7,0)+IF(ISNUMBER(E97),6.7,0)+IF(ISNUMBER(E103),6.6,0)))</f>
        <v/>
      </c>
      <c r="F109" s="39" t="str">
        <f>IF((IF(ISNUMBER(F91),6.7,0)+IF(ISNUMBER(F97),6.7,0)+IF(ISNUMBER(F103),6.6,0))=0,"",(IF(ISNUMBER(F91),F91*6.7,0)+IF(ISNUMBER(F97),F97*6.7,0)+IF(ISNUMBER(F103),F103*6.6,0))/(IF(ISNUMBER(F91),6.7,0)+IF(ISNUMBER(F97),6.7,0)+IF(ISNUMBER(F103),6.6,0)))</f>
        <v/>
      </c>
      <c r="G109" s="39" t="str">
        <f>IF((IF(ISNUMBER(G91),6.7,0)+IF(ISNUMBER(G97),6.7,0)+IF(ISNUMBER(G103),6.6,0))=0,"",(IF(ISNUMBER(G91),G91*6.7,0)+IF(ISNUMBER(G97),G97*6.7,0)+IF(ISNUMBER(G103),G103*6.6,0))/(IF(ISNUMBER(G91),6.7,0)+IF(ISNUMBER(G97),6.7,0)+IF(ISNUMBER(G103),6.6,0)))</f>
        <v/>
      </c>
      <c r="H109" s="39" t="str">
        <f>IF((IF(ISNUMBER(H91),6.7,0)+IF(ISNUMBER(H97),6.7,0)+IF(ISNUMBER(H103),6.6,0))=0,"",(IF(ISNUMBER(H91),H91*6.7,0)+IF(ISNUMBER(H97),H97*6.7,0)+IF(ISNUMBER(H103),H103*6.6,0))/(IF(ISNUMBER(H91),6.7,0)+IF(ISNUMBER(H97),6.7,0)+IF(ISNUMBER(H103),6.6,0)))</f>
        <v/>
      </c>
      <c r="I109" s="39" t="str">
        <f>IF((IF(ISNUMBER(I91),6.7,0)+IF(ISNUMBER(I97),6.7,0)+IF(ISNUMBER(I103),6.6,0))=0,"",(IF(ISNUMBER(I91),I91*6.7,0)+IF(ISNUMBER(I97),I97*6.7,0)+IF(ISNUMBER(I103),I103*6.6,0))/(IF(ISNUMBER(I91),6.7,0)+IF(ISNUMBER(I97),6.7,0)+IF(ISNUMBER(I103),6.6,0)))</f>
        <v/>
      </c>
      <c r="J109" s="39" t="str">
        <f>IF((IF(ISNUMBER(J91),6.7,0)+IF(ISNUMBER(J97),6.7,0)+IF(ISNUMBER(J103),6.6,0))=0,"",(IF(ISNUMBER(J91),J91*6.7,0)+IF(ISNUMBER(J97),J97*6.7,0)+IF(ISNUMBER(J103),J103*6.6,0))/(IF(ISNUMBER(J91),6.7,0)+IF(ISNUMBER(J97),6.7,0)+IF(ISNUMBER(J103),6.6,0)))</f>
        <v/>
      </c>
      <c r="K109" s="39" t="str">
        <f>IF((IF(ISNUMBER(K91),6.7,0)+IF(ISNUMBER(K97),6.7,0)+IF(ISNUMBER(K103),6.6,0))=0,"",(IF(ISNUMBER(K91),K91*6.7,0)+IF(ISNUMBER(K97),K97*6.7,0)+IF(ISNUMBER(K103),K103*6.6,0))/(IF(ISNUMBER(K91),6.7,0)+IF(ISNUMBER(K97),6.7,0)+IF(ISNUMBER(K103),6.6,0)))</f>
        <v/>
      </c>
      <c r="L109" s="39" t="str">
        <f>IF((IF(ISNUMBER(L91),6.7,0)+IF(ISNUMBER(L97),6.7,0)+IF(ISNUMBER(L103),6.6,0))=0,"",(IF(ISNUMBER(L91),L91*6.7,0)+IF(ISNUMBER(L97),L97*6.7,0)+IF(ISNUMBER(L103),L103*6.6,0))/(IF(ISNUMBER(L91),6.7,0)+IF(ISNUMBER(L97),6.7,0)+IF(ISNUMBER(L103),6.6,0)))</f>
        <v/>
      </c>
      <c r="M109" s="39" t="str">
        <f>IF((IF(ISNUMBER(M91),6.7,0)+IF(ISNUMBER(M97),6.7,0)+IF(ISNUMBER(M103),6.6,0))=0,"",(IF(ISNUMBER(M91),M91*6.7,0)+IF(ISNUMBER(M97),M97*6.7,0)+IF(ISNUMBER(M103),M103*6.6,0))/(IF(ISNUMBER(M91),6.7,0)+IF(ISNUMBER(M97),6.7,0)+IF(ISNUMBER(M103),6.6,0)))</f>
        <v/>
      </c>
      <c r="N109" s="39" t="str">
        <f>IF((IF(ISNUMBER(N91),6.7,0)+IF(ISNUMBER(N97),6.7,0)+IF(ISNUMBER(N103),6.6,0))=0,"",(IF(ISNUMBER(N91),N91*6.7,0)+IF(ISNUMBER(N97),N97*6.7,0)+IF(ISNUMBER(N103),N103*6.6,0))/(IF(ISNUMBER(N91),6.7,0)+IF(ISNUMBER(N97),6.7,0)+IF(ISNUMBER(N103),6.6,0)))</f>
        <v/>
      </c>
      <c r="O109" s="39" t="str">
        <f>IF((IF(ISNUMBER(O91),6.7,0)+IF(ISNUMBER(O97),6.7,0)+IF(ISNUMBER(O103),6.6,0))=0,"",(IF(ISNUMBER(O91),O91*6.7,0)+IF(ISNUMBER(O97),O97*6.7,0)+IF(ISNUMBER(O103),O103*6.6,0))/(IF(ISNUMBER(O91),6.7,0)+IF(ISNUMBER(O97),6.7,0)+IF(ISNUMBER(O103),6.6,0)))</f>
        <v/>
      </c>
      <c r="P109" s="39" t="str">
        <f>IF((IF(ISNUMBER(P91),6.7,0)+IF(ISNUMBER(P97),6.7,0)+IF(ISNUMBER(P103),6.6,0))=0,"",(IF(ISNUMBER(P91),P91*6.7,0)+IF(ISNUMBER(P97),P97*6.7,0)+IF(ISNUMBER(P103),P103*6.6,0))/(IF(ISNUMBER(P91),6.7,0)+IF(ISNUMBER(P97),6.7,0)+IF(ISNUMBER(P103),6.6,0)))</f>
        <v/>
      </c>
      <c r="Q109" s="39" t="str">
        <f>IF((IF(ISNUMBER(Q91),6.7,0)+IF(ISNUMBER(Q97),6.7,0)+IF(ISNUMBER(Q103),6.6,0))=0,"",(IF(ISNUMBER(Q91),Q91*6.7,0)+IF(ISNUMBER(Q97),Q97*6.7,0)+IF(ISNUMBER(Q103),Q103*6.6,0))/(IF(ISNUMBER(Q91),6.7,0)+IF(ISNUMBER(Q97),6.7,0)+IF(ISNUMBER(Q103),6.6,0)))</f>
        <v/>
      </c>
      <c r="R109" s="39" t="str">
        <f>IF((IF(ISNUMBER(R91),6.7,0)+IF(ISNUMBER(R97),6.7,0)+IF(ISNUMBER(R103),6.6,0))=0,"",(IF(ISNUMBER(R91),R91*6.7,0)+IF(ISNUMBER(R97),R97*6.7,0)+IF(ISNUMBER(R103),R103*6.6,0))/(IF(ISNUMBER(R91),6.7,0)+IF(ISNUMBER(R97),6.7,0)+IF(ISNUMBER(R103),6.6,0)))</f>
        <v/>
      </c>
      <c r="S109" s="39" t="str">
        <f>IF((IF(ISNUMBER(S91),6.7,0)+IF(ISNUMBER(S97),6.7,0)+IF(ISNUMBER(S103),6.6,0))=0,"",(IF(ISNUMBER(S91),S91*6.7,0)+IF(ISNUMBER(S97),S97*6.7,0)+IF(ISNUMBER(S103),S103*6.6,0))/(IF(ISNUMBER(S91),6.7,0)+IF(ISNUMBER(S97),6.7,0)+IF(ISNUMBER(S103),6.6,0)))</f>
        <v/>
      </c>
      <c r="T109" s="39" t="str">
        <f>IF((IF(ISNUMBER(T91),6.7,0)+IF(ISNUMBER(T97),6.7,0)+IF(ISNUMBER(T103),6.6,0))=0,"",(IF(ISNUMBER(T91),T91*6.7,0)+IF(ISNUMBER(T97),T97*6.7,0)+IF(ISNUMBER(T103),T103*6.6,0))/(IF(ISNUMBER(T91),6.7,0)+IF(ISNUMBER(T97),6.7,0)+IF(ISNUMBER(T103),6.6,0)))</f>
        <v/>
      </c>
      <c r="U109" s="39" t="str">
        <f>IF((IF(ISNUMBER(U91),6.7,0)+IF(ISNUMBER(U97),6.7,0)+IF(ISNUMBER(U103),6.6,0))=0,"",(IF(ISNUMBER(U91),U91*6.7,0)+IF(ISNUMBER(U97),U97*6.7,0)+IF(ISNUMBER(U103),U103*6.6,0))/(IF(ISNUMBER(U91),6.7,0)+IF(ISNUMBER(U97),6.7,0)+IF(ISNUMBER(U103),6.6,0)))</f>
        <v/>
      </c>
      <c r="V109" s="39" t="str">
        <f>IF((IF(ISNUMBER(V91),6.7,0)+IF(ISNUMBER(V97),6.7,0)+IF(ISNUMBER(V103),6.6,0))=0,"",(IF(ISNUMBER(V91),V91*6.7,0)+IF(ISNUMBER(V97),V97*6.7,0)+IF(ISNUMBER(V103),V103*6.6,0))/(IF(ISNUMBER(V91),6.7,0)+IF(ISNUMBER(V97),6.7,0)+IF(ISNUMBER(V103),6.6,0)))</f>
        <v/>
      </c>
      <c r="W109" s="39" t="str">
        <f>IF((IF(ISNUMBER(W91),6.7,0)+IF(ISNUMBER(W97),6.7,0)+IF(ISNUMBER(W103),6.6,0))=0,"",(IF(ISNUMBER(W91),W91*6.7,0)+IF(ISNUMBER(W97),W97*6.7,0)+IF(ISNUMBER(W103),W103*6.6,0))/(IF(ISNUMBER(W91),6.7,0)+IF(ISNUMBER(W97),6.7,0)+IF(ISNUMBER(W103),6.6,0)))</f>
        <v/>
      </c>
      <c r="X109" s="39" t="str">
        <f>IF((IF(ISNUMBER(X91),6.7,0)+IF(ISNUMBER(X97),6.7,0)+IF(ISNUMBER(X103),6.6,0))=0,"",(IF(ISNUMBER(X91),X91*6.7,0)+IF(ISNUMBER(X97),X97*6.7,0)+IF(ISNUMBER(X103),X103*6.6,0))/(IF(ISNUMBER(X91),6.7,0)+IF(ISNUMBER(X97),6.7,0)+IF(ISNUMBER(X103),6.6,0)))</f>
        <v/>
      </c>
      <c r="Y109" s="39" t="str">
        <f>IF((IF(ISNUMBER(Y91),6.7,0)+IF(ISNUMBER(Y97),6.7,0)+IF(ISNUMBER(Y103),6.6,0))=0,"",(IF(ISNUMBER(Y91),Y91*6.7,0)+IF(ISNUMBER(Y97),Y97*6.7,0)+IF(ISNUMBER(Y103),Y103*6.6,0))/(IF(ISNUMBER(Y91),6.7,0)+IF(ISNUMBER(Y97),6.7,0)+IF(ISNUMBER(Y103),6.6,0)))</f>
        <v/>
      </c>
      <c r="Z109" s="39" t="str">
        <f>_xlfn.IFERROR(AVERAGE(E109:Y109),"")</f>
        <v/>
      </c>
    </row>
    <row r="110" spans="8:8" ht="20.0" customHeight="1">
      <c r="A110" s="18" t="s">
        <v>691</v>
      </c>
    </row>
    <row r="111" spans="8:8" ht="28.0" customHeight="1">
      <c r="A111" s="28"/>
      <c r="B111" s="29" t="s">
        <v>692</v>
      </c>
      <c r="C111" s="30" t="s">
        <v>693</v>
      </c>
      <c r="D111" s="29">
        <v>20.0</v>
      </c>
      <c r="E111" s="31" t="str">
        <f>IF(COUNTA(E112:E116)=0,"",COUNTIF(E112:E116,"Ya")/5*100)</f>
        <v/>
      </c>
      <c r="F111" s="31" t="str">
        <f>IF(COUNTA(F112:F116)=0,"",COUNTIF(F112:F116,"Ya")/5*100)</f>
        <v/>
      </c>
      <c r="G111" s="31" t="str">
        <f>IF(COUNTA(G112:G116)=0,"",COUNTIF(G112:G116,"Ya")/5*100)</f>
        <v/>
      </c>
      <c r="H111" s="31" t="str">
        <f>IF(COUNTA(H112:H116)=0,"",COUNTIF(H112:H116,"Ya")/5*100)</f>
        <v/>
      </c>
      <c r="I111" s="31" t="str">
        <f>IF(COUNTA(I112:I116)=0,"",COUNTIF(I112:I116,"Ya")/5*100)</f>
        <v/>
      </c>
      <c r="J111" s="31" t="str">
        <f>IF(COUNTA(J112:J116)=0,"",COUNTIF(J112:J116,"Ya")/5*100)</f>
        <v/>
      </c>
      <c r="K111" s="31" t="str">
        <f>IF(COUNTA(K112:K116)=0,"",COUNTIF(K112:K116,"Ya")/5*100)</f>
        <v/>
      </c>
      <c r="L111" s="31" t="str">
        <f>IF(COUNTA(L112:L116)=0,"",COUNTIF(L112:L116,"Ya")/5*100)</f>
        <v/>
      </c>
      <c r="M111" s="31" t="str">
        <f>IF(COUNTA(M112:M116)=0,"",COUNTIF(M112:M116,"Ya")/5*100)</f>
        <v/>
      </c>
      <c r="N111" s="31" t="str">
        <f>IF(COUNTA(N112:N116)=0,"",COUNTIF(N112:N116,"Ya")/5*100)</f>
        <v/>
      </c>
      <c r="O111" s="31" t="str">
        <f>IF(COUNTA(O112:O116)=0,"",COUNTIF(O112:O116,"Ya")/5*100)</f>
        <v/>
      </c>
      <c r="P111" s="31" t="str">
        <f>IF(COUNTA(P112:P116)=0,"",COUNTIF(P112:P116,"Ya")/5*100)</f>
        <v/>
      </c>
      <c r="Q111" s="31" t="str">
        <f>IF(COUNTA(Q112:Q116)=0,"",COUNTIF(Q112:Q116,"Ya")/5*100)</f>
        <v/>
      </c>
      <c r="R111" s="31" t="str">
        <f>IF(COUNTA(R112:R116)=0,"",COUNTIF(R112:R116,"Ya")/5*100)</f>
        <v/>
      </c>
      <c r="S111" s="31" t="str">
        <f>IF(COUNTA(S112:S116)=0,"",COUNTIF(S112:S116,"Ya")/5*100)</f>
        <v/>
      </c>
      <c r="T111" s="31" t="str">
        <f>IF(COUNTA(T112:T116)=0,"",COUNTIF(T112:T116,"Ya")/5*100)</f>
        <v/>
      </c>
      <c r="U111" s="31" t="str">
        <f>IF(COUNTA(U112:U116)=0,"",COUNTIF(U112:U116,"Ya")/5*100)</f>
        <v/>
      </c>
      <c r="V111" s="31" t="str">
        <f>IF(COUNTA(V112:V116)=0,"",COUNTIF(V112:V116,"Ya")/5*100)</f>
        <v/>
      </c>
      <c r="W111" s="31" t="str">
        <f>IF(COUNTA(W112:W116)=0,"",COUNTIF(W112:W116,"Ya")/5*100)</f>
        <v/>
      </c>
      <c r="X111" s="31" t="str">
        <f>IF(COUNTA(X112:X116)=0,"",COUNTIF(X112:X116,"Ya")/5*100)</f>
        <v/>
      </c>
      <c r="Y111" s="31" t="str">
        <f>IF(COUNTA(Y112:Y116)=0,"",COUNTIF(Y112:Y116,"Ya")/5*100)</f>
        <v/>
      </c>
      <c r="Z111" s="31" t="str">
        <f>_xlfn.IFERROR(AVERAGE(E111:Y111),"")</f>
        <v/>
      </c>
    </row>
    <row r="112" spans="8:8" ht="25.0" customHeight="1">
      <c r="A112" s="32"/>
      <c r="B112" s="33" t="s">
        <v>694</v>
      </c>
      <c r="C112" s="34" t="s">
        <v>695</v>
      </c>
      <c r="D112" s="32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spans="8:8" ht="25.0" customHeight="1">
      <c r="A113" s="32"/>
      <c r="B113" s="33" t="s">
        <v>696</v>
      </c>
      <c r="C113" s="34" t="s">
        <v>697</v>
      </c>
      <c r="D113" s="32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spans="8:8" ht="25.0" customHeight="1">
      <c r="A114" s="32"/>
      <c r="B114" s="33" t="s">
        <v>698</v>
      </c>
      <c r="C114" s="34" t="s">
        <v>699</v>
      </c>
      <c r="D114" s="32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spans="8:8" ht="25.0" customHeight="1">
      <c r="A115" s="32"/>
      <c r="B115" s="33" t="s">
        <v>700</v>
      </c>
      <c r="C115" s="34" t="s">
        <v>701</v>
      </c>
      <c r="D115" s="32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spans="8:8" ht="25.0" customHeight="1">
      <c r="A116" s="32"/>
      <c r="B116" s="33" t="s">
        <v>702</v>
      </c>
      <c r="C116" s="34" t="s">
        <v>703</v>
      </c>
      <c r="D116" s="32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spans="8:8" ht="28.0" customHeight="1">
      <c r="A117" s="28"/>
      <c r="B117" s="29" t="s">
        <v>704</v>
      </c>
      <c r="C117" s="30" t="s">
        <v>705</v>
      </c>
      <c r="D117" s="29">
        <v>20.0</v>
      </c>
      <c r="E117" s="31" t="str">
        <f>IF(COUNTA(E118:E122)=0,"",COUNTIF(E118:E122,"Ya")/5*100)</f>
        <v/>
      </c>
      <c r="F117" s="31" t="str">
        <f>IF(COUNTA(F118:F122)=0,"",COUNTIF(F118:F122,"Ya")/5*100)</f>
        <v/>
      </c>
      <c r="G117" s="31" t="str">
        <f>IF(COUNTA(G118:G122)=0,"",COUNTIF(G118:G122,"Ya")/5*100)</f>
        <v/>
      </c>
      <c r="H117" s="31" t="str">
        <f>IF(COUNTA(H118:H122)=0,"",COUNTIF(H118:H122,"Ya")/5*100)</f>
        <v/>
      </c>
      <c r="I117" s="31" t="str">
        <f>IF(COUNTA(I118:I122)=0,"",COUNTIF(I118:I122,"Ya")/5*100)</f>
        <v/>
      </c>
      <c r="J117" s="31" t="str">
        <f>IF(COUNTA(J118:J122)=0,"",COUNTIF(J118:J122,"Ya")/5*100)</f>
        <v/>
      </c>
      <c r="K117" s="31" t="str">
        <f>IF(COUNTA(K118:K122)=0,"",COUNTIF(K118:K122,"Ya")/5*100)</f>
        <v/>
      </c>
      <c r="L117" s="31" t="str">
        <f>IF(COUNTA(L118:L122)=0,"",COUNTIF(L118:L122,"Ya")/5*100)</f>
        <v/>
      </c>
      <c r="M117" s="31" t="str">
        <f>IF(COUNTA(M118:M122)=0,"",COUNTIF(M118:M122,"Ya")/5*100)</f>
        <v/>
      </c>
      <c r="N117" s="31" t="str">
        <f>IF(COUNTA(N118:N122)=0,"",COUNTIF(N118:N122,"Ya")/5*100)</f>
        <v/>
      </c>
      <c r="O117" s="31" t="str">
        <f>IF(COUNTA(O118:O122)=0,"",COUNTIF(O118:O122,"Ya")/5*100)</f>
        <v/>
      </c>
      <c r="P117" s="31" t="str">
        <f>IF(COUNTA(P118:P122)=0,"",COUNTIF(P118:P122,"Ya")/5*100)</f>
        <v/>
      </c>
      <c r="Q117" s="31" t="str">
        <f>IF(COUNTA(Q118:Q122)=0,"",COUNTIF(Q118:Q122,"Ya")/5*100)</f>
        <v/>
      </c>
      <c r="R117" s="31" t="str">
        <f>IF(COUNTA(R118:R122)=0,"",COUNTIF(R118:R122,"Ya")/5*100)</f>
        <v/>
      </c>
      <c r="S117" s="31" t="str">
        <f>IF(COUNTA(S118:S122)=0,"",COUNTIF(S118:S122,"Ya")/5*100)</f>
        <v/>
      </c>
      <c r="T117" s="31" t="str">
        <f>IF(COUNTA(T118:T122)=0,"",COUNTIF(T118:T122,"Ya")/5*100)</f>
        <v/>
      </c>
      <c r="U117" s="31" t="str">
        <f>IF(COUNTA(U118:U122)=0,"",COUNTIF(U118:U122,"Ya")/5*100)</f>
        <v/>
      </c>
      <c r="V117" s="31" t="str">
        <f>IF(COUNTA(V118:V122)=0,"",COUNTIF(V118:V122,"Ya")/5*100)</f>
        <v/>
      </c>
      <c r="W117" s="31" t="str">
        <f>IF(COUNTA(W118:W122)=0,"",COUNTIF(W118:W122,"Ya")/5*100)</f>
        <v/>
      </c>
      <c r="X117" s="31" t="str">
        <f>IF(COUNTA(X118:X122)=0,"",COUNTIF(X118:X122,"Ya")/5*100)</f>
        <v/>
      </c>
      <c r="Y117" s="31" t="str">
        <f>IF(COUNTA(Y118:Y122)=0,"",COUNTIF(Y118:Y122,"Ya")/5*100)</f>
        <v/>
      </c>
      <c r="Z117" s="31" t="str">
        <f>_xlfn.IFERROR(AVERAGE(E117:Y117),"")</f>
        <v/>
      </c>
    </row>
    <row r="118" spans="8:8" ht="25.0" customHeight="1">
      <c r="A118" s="32"/>
      <c r="B118" s="33" t="s">
        <v>706</v>
      </c>
      <c r="C118" s="34" t="s">
        <v>707</v>
      </c>
      <c r="D118" s="32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spans="8:8" ht="25.0" customHeight="1">
      <c r="A119" s="32"/>
      <c r="B119" s="33" t="s">
        <v>708</v>
      </c>
      <c r="C119" s="34" t="s">
        <v>709</v>
      </c>
      <c r="D119" s="32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spans="8:8" ht="25.0" customHeight="1">
      <c r="A120" s="32"/>
      <c r="B120" s="33" t="s">
        <v>710</v>
      </c>
      <c r="C120" s="34" t="s">
        <v>711</v>
      </c>
      <c r="D120" s="32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8:8" ht="25.0" customHeight="1">
      <c r="A121" s="32"/>
      <c r="B121" s="33" t="s">
        <v>712</v>
      </c>
      <c r="C121" s="34" t="s">
        <v>713</v>
      </c>
      <c r="D121" s="32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spans="8:8" ht="25.0" customHeight="1">
      <c r="A122" s="32"/>
      <c r="B122" s="33" t="s">
        <v>714</v>
      </c>
      <c r="C122" s="34" t="s">
        <v>715</v>
      </c>
      <c r="D122" s="32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spans="8:8" ht="28.0" customHeight="1">
      <c r="A123" s="28"/>
      <c r="B123" s="29" t="s">
        <v>716</v>
      </c>
      <c r="C123" s="30" t="s">
        <v>717</v>
      </c>
      <c r="D123" s="29">
        <v>20.0</v>
      </c>
      <c r="E123" s="31" t="str">
        <f>IF(COUNTA(E124:E128)=0,"",COUNTIF(E124:E128,"Ya")/5*100)</f>
        <v/>
      </c>
      <c r="F123" s="31" t="str">
        <f>IF(COUNTA(F124:F128)=0,"",COUNTIF(F124:F128,"Ya")/5*100)</f>
        <v/>
      </c>
      <c r="G123" s="31" t="str">
        <f>IF(COUNTA(G124:G128)=0,"",COUNTIF(G124:G128,"Ya")/5*100)</f>
        <v/>
      </c>
      <c r="H123" s="31" t="str">
        <f>IF(COUNTA(H124:H128)=0,"",COUNTIF(H124:H128,"Ya")/5*100)</f>
        <v/>
      </c>
      <c r="I123" s="31" t="str">
        <f>IF(COUNTA(I124:I128)=0,"",COUNTIF(I124:I128,"Ya")/5*100)</f>
        <v/>
      </c>
      <c r="J123" s="31" t="str">
        <f>IF(COUNTA(J124:J128)=0,"",COUNTIF(J124:J128,"Ya")/5*100)</f>
        <v/>
      </c>
      <c r="K123" s="31" t="str">
        <f>IF(COUNTA(K124:K128)=0,"",COUNTIF(K124:K128,"Ya")/5*100)</f>
        <v/>
      </c>
      <c r="L123" s="31" t="str">
        <f>IF(COUNTA(L124:L128)=0,"",COUNTIF(L124:L128,"Ya")/5*100)</f>
        <v/>
      </c>
      <c r="M123" s="31" t="str">
        <f>IF(COUNTA(M124:M128)=0,"",COUNTIF(M124:M128,"Ya")/5*100)</f>
        <v/>
      </c>
      <c r="N123" s="31" t="str">
        <f>IF(COUNTA(N124:N128)=0,"",COUNTIF(N124:N128,"Ya")/5*100)</f>
        <v/>
      </c>
      <c r="O123" s="31" t="str">
        <f>IF(COUNTA(O124:O128)=0,"",COUNTIF(O124:O128,"Ya")/5*100)</f>
        <v/>
      </c>
      <c r="P123" s="31" t="str">
        <f>IF(COUNTA(P124:P128)=0,"",COUNTIF(P124:P128,"Ya")/5*100)</f>
        <v/>
      </c>
      <c r="Q123" s="31" t="str">
        <f>IF(COUNTA(Q124:Q128)=0,"",COUNTIF(Q124:Q128,"Ya")/5*100)</f>
        <v/>
      </c>
      <c r="R123" s="31" t="str">
        <f>IF(COUNTA(R124:R128)=0,"",COUNTIF(R124:R128,"Ya")/5*100)</f>
        <v/>
      </c>
      <c r="S123" s="31" t="str">
        <f>IF(COUNTA(S124:S128)=0,"",COUNTIF(S124:S128,"Ya")/5*100)</f>
        <v/>
      </c>
      <c r="T123" s="31" t="str">
        <f>IF(COUNTA(T124:T128)=0,"",COUNTIF(T124:T128,"Ya")/5*100)</f>
        <v/>
      </c>
      <c r="U123" s="31" t="str">
        <f>IF(COUNTA(U124:U128)=0,"",COUNTIF(U124:U128,"Ya")/5*100)</f>
        <v/>
      </c>
      <c r="V123" s="31" t="str">
        <f>IF(COUNTA(V124:V128)=0,"",COUNTIF(V124:V128,"Ya")/5*100)</f>
        <v/>
      </c>
      <c r="W123" s="31" t="str">
        <f>IF(COUNTA(W124:W128)=0,"",COUNTIF(W124:W128,"Ya")/5*100)</f>
        <v/>
      </c>
      <c r="X123" s="31" t="str">
        <f>IF(COUNTA(X124:X128)=0,"",COUNTIF(X124:X128,"Ya")/5*100)</f>
        <v/>
      </c>
      <c r="Y123" s="31" t="str">
        <f>IF(COUNTA(Y124:Y128)=0,"",COUNTIF(Y124:Y128,"Ya")/5*100)</f>
        <v/>
      </c>
      <c r="Z123" s="31" t="str">
        <f>_xlfn.IFERROR(AVERAGE(E123:Y123),"")</f>
        <v/>
      </c>
    </row>
    <row r="124" spans="8:8" ht="25.0" customHeight="1">
      <c r="A124" s="32"/>
      <c r="B124" s="33" t="s">
        <v>718</v>
      </c>
      <c r="C124" s="34" t="s">
        <v>719</v>
      </c>
      <c r="D124" s="32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8:8" ht="25.0" customHeight="1">
      <c r="A125" s="32"/>
      <c r="B125" s="33" t="s">
        <v>720</v>
      </c>
      <c r="C125" s="34" t="s">
        <v>721</v>
      </c>
      <c r="D125" s="32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spans="8:8" ht="25.0" customHeight="1">
      <c r="A126" s="32"/>
      <c r="B126" s="33" t="s">
        <v>722</v>
      </c>
      <c r="C126" s="34" t="s">
        <v>723</v>
      </c>
      <c r="D126" s="32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spans="8:8" ht="25.0" customHeight="1">
      <c r="A127" s="32"/>
      <c r="B127" s="33" t="s">
        <v>724</v>
      </c>
      <c r="C127" s="34" t="s">
        <v>725</v>
      </c>
      <c r="D127" s="32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spans="8:8" ht="25.0" customHeight="1">
      <c r="A128" s="32"/>
      <c r="B128" s="33" t="s">
        <v>726</v>
      </c>
      <c r="C128" s="34" t="s">
        <v>727</v>
      </c>
      <c r="D128" s="32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spans="8:8" ht="28.0" customHeight="1">
      <c r="A129" s="28"/>
      <c r="B129" s="29" t="s">
        <v>728</v>
      </c>
      <c r="C129" s="30" t="s">
        <v>729</v>
      </c>
      <c r="D129" s="29">
        <v>20.0</v>
      </c>
      <c r="E129" s="31" t="str">
        <f>IF(COUNTA(E130:E134)=0,"",COUNTIF(E130:E134,"Ya")/5*100)</f>
        <v/>
      </c>
      <c r="F129" s="31" t="str">
        <f>IF(COUNTA(F130:F134)=0,"",COUNTIF(F130:F134,"Ya")/5*100)</f>
        <v/>
      </c>
      <c r="G129" s="31" t="str">
        <f>IF(COUNTA(G130:G134)=0,"",COUNTIF(G130:G134,"Ya")/5*100)</f>
        <v/>
      </c>
      <c r="H129" s="31" t="str">
        <f>IF(COUNTA(H130:H134)=0,"",COUNTIF(H130:H134,"Ya")/5*100)</f>
        <v/>
      </c>
      <c r="I129" s="31" t="str">
        <f>IF(COUNTA(I130:I134)=0,"",COUNTIF(I130:I134,"Ya")/5*100)</f>
        <v/>
      </c>
      <c r="J129" s="31" t="str">
        <f>IF(COUNTA(J130:J134)=0,"",COUNTIF(J130:J134,"Ya")/5*100)</f>
        <v/>
      </c>
      <c r="K129" s="31" t="str">
        <f>IF(COUNTA(K130:K134)=0,"",COUNTIF(K130:K134,"Ya")/5*100)</f>
        <v/>
      </c>
      <c r="L129" s="31" t="str">
        <f>IF(COUNTA(L130:L134)=0,"",COUNTIF(L130:L134,"Ya")/5*100)</f>
        <v/>
      </c>
      <c r="M129" s="31" t="str">
        <f>IF(COUNTA(M130:M134)=0,"",COUNTIF(M130:M134,"Ya")/5*100)</f>
        <v/>
      </c>
      <c r="N129" s="31" t="str">
        <f>IF(COUNTA(N130:N134)=0,"",COUNTIF(N130:N134,"Ya")/5*100)</f>
        <v/>
      </c>
      <c r="O129" s="31" t="str">
        <f>IF(COUNTA(O130:O134)=0,"",COUNTIF(O130:O134,"Ya")/5*100)</f>
        <v/>
      </c>
      <c r="P129" s="31" t="str">
        <f>IF(COUNTA(P130:P134)=0,"",COUNTIF(P130:P134,"Ya")/5*100)</f>
        <v/>
      </c>
      <c r="Q129" s="31" t="str">
        <f>IF(COUNTA(Q130:Q134)=0,"",COUNTIF(Q130:Q134,"Ya")/5*100)</f>
        <v/>
      </c>
      <c r="R129" s="31" t="str">
        <f>IF(COUNTA(R130:R134)=0,"",COUNTIF(R130:R134,"Ya")/5*100)</f>
        <v/>
      </c>
      <c r="S129" s="31" t="str">
        <f>IF(COUNTA(S130:S134)=0,"",COUNTIF(S130:S134,"Ya")/5*100)</f>
        <v/>
      </c>
      <c r="T129" s="31" t="str">
        <f>IF(COUNTA(T130:T134)=0,"",COUNTIF(T130:T134,"Ya")/5*100)</f>
        <v/>
      </c>
      <c r="U129" s="31" t="str">
        <f>IF(COUNTA(U130:U134)=0,"",COUNTIF(U130:U134,"Ya")/5*100)</f>
        <v/>
      </c>
      <c r="V129" s="31" t="str">
        <f>IF(COUNTA(V130:V134)=0,"",COUNTIF(V130:V134,"Ya")/5*100)</f>
        <v/>
      </c>
      <c r="W129" s="31" t="str">
        <f>IF(COUNTA(W130:W134)=0,"",COUNTIF(W130:W134,"Ya")/5*100)</f>
        <v/>
      </c>
      <c r="X129" s="31" t="str">
        <f>IF(COUNTA(X130:X134)=0,"",COUNTIF(X130:X134,"Ya")/5*100)</f>
        <v/>
      </c>
      <c r="Y129" s="31" t="str">
        <f>IF(COUNTA(Y130:Y134)=0,"",COUNTIF(Y130:Y134,"Ya")/5*100)</f>
        <v/>
      </c>
      <c r="Z129" s="31" t="str">
        <f>_xlfn.IFERROR(AVERAGE(E129:Y129),"")</f>
        <v/>
      </c>
    </row>
    <row r="130" spans="8:8" ht="25.0" customHeight="1">
      <c r="A130" s="32"/>
      <c r="B130" s="33" t="s">
        <v>730</v>
      </c>
      <c r="C130" s="34" t="s">
        <v>731</v>
      </c>
      <c r="D130" s="32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spans="8:8" ht="14.0" customHeight="1">
      <c r="A131" s="32"/>
      <c r="B131" s="33" t="s">
        <v>732</v>
      </c>
      <c r="C131" s="34" t="s">
        <v>733</v>
      </c>
      <c r="D131" s="32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spans="8:8" ht="25.0" customHeight="1">
      <c r="A132" s="32"/>
      <c r="B132" s="33" t="s">
        <v>734</v>
      </c>
      <c r="C132" s="34" t="s">
        <v>735</v>
      </c>
      <c r="D132" s="32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spans="8:8" ht="25.0" customHeight="1">
      <c r="A133" s="32"/>
      <c r="B133" s="33" t="s">
        <v>736</v>
      </c>
      <c r="C133" s="34" t="s">
        <v>737</v>
      </c>
      <c r="D133" s="32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spans="8:8" ht="25.0" customHeight="1">
      <c r="A134" s="32"/>
      <c r="B134" s="33" t="s">
        <v>738</v>
      </c>
      <c r="C134" s="34" t="s">
        <v>739</v>
      </c>
      <c r="D134" s="32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spans="8:8" ht="28.0" customHeight="1">
      <c r="A135" s="28"/>
      <c r="B135" s="29" t="s">
        <v>740</v>
      </c>
      <c r="C135" s="30" t="s">
        <v>741</v>
      </c>
      <c r="D135" s="29">
        <v>20.0</v>
      </c>
      <c r="E135" s="31" t="str">
        <f>IF(COUNTA(E136:E140)=0,"",COUNTIF(E136:E140,"Ya")/5*100)</f>
        <v/>
      </c>
      <c r="F135" s="31" t="str">
        <f>IF(COUNTA(F136:F140)=0,"",COUNTIF(F136:F140,"Ya")/5*100)</f>
        <v/>
      </c>
      <c r="G135" s="31" t="str">
        <f>IF(COUNTA(G136:G140)=0,"",COUNTIF(G136:G140,"Ya")/5*100)</f>
        <v/>
      </c>
      <c r="H135" s="31" t="str">
        <f>IF(COUNTA(H136:H140)=0,"",COUNTIF(H136:H140,"Ya")/5*100)</f>
        <v/>
      </c>
      <c r="I135" s="31" t="str">
        <f>IF(COUNTA(I136:I140)=0,"",COUNTIF(I136:I140,"Ya")/5*100)</f>
        <v/>
      </c>
      <c r="J135" s="31" t="str">
        <f>IF(COUNTA(J136:J140)=0,"",COUNTIF(J136:J140,"Ya")/5*100)</f>
        <v/>
      </c>
      <c r="K135" s="31" t="str">
        <f>IF(COUNTA(K136:K140)=0,"",COUNTIF(K136:K140,"Ya")/5*100)</f>
        <v/>
      </c>
      <c r="L135" s="31" t="str">
        <f>IF(COUNTA(L136:L140)=0,"",COUNTIF(L136:L140,"Ya")/5*100)</f>
        <v/>
      </c>
      <c r="M135" s="31" t="str">
        <f>IF(COUNTA(M136:M140)=0,"",COUNTIF(M136:M140,"Ya")/5*100)</f>
        <v/>
      </c>
      <c r="N135" s="31" t="str">
        <f>IF(COUNTA(N136:N140)=0,"",COUNTIF(N136:N140,"Ya")/5*100)</f>
        <v/>
      </c>
      <c r="O135" s="31" t="str">
        <f>IF(COUNTA(O136:O140)=0,"",COUNTIF(O136:O140,"Ya")/5*100)</f>
        <v/>
      </c>
      <c r="P135" s="31" t="str">
        <f>IF(COUNTA(P136:P140)=0,"",COUNTIF(P136:P140,"Ya")/5*100)</f>
        <v/>
      </c>
      <c r="Q135" s="31" t="str">
        <f>IF(COUNTA(Q136:Q140)=0,"",COUNTIF(Q136:Q140,"Ya")/5*100)</f>
        <v/>
      </c>
      <c r="R135" s="31" t="str">
        <f>IF(COUNTA(R136:R140)=0,"",COUNTIF(R136:R140,"Ya")/5*100)</f>
        <v/>
      </c>
      <c r="S135" s="31" t="str">
        <f>IF(COUNTA(S136:S140)=0,"",COUNTIF(S136:S140,"Ya")/5*100)</f>
        <v/>
      </c>
      <c r="T135" s="31" t="str">
        <f>IF(COUNTA(T136:T140)=0,"",COUNTIF(T136:T140,"Ya")/5*100)</f>
        <v/>
      </c>
      <c r="U135" s="31" t="str">
        <f>IF(COUNTA(U136:U140)=0,"",COUNTIF(U136:U140,"Ya")/5*100)</f>
        <v/>
      </c>
      <c r="V135" s="31" t="str">
        <f>IF(COUNTA(V136:V140)=0,"",COUNTIF(V136:V140,"Ya")/5*100)</f>
        <v/>
      </c>
      <c r="W135" s="31" t="str">
        <f>IF(COUNTA(W136:W140)=0,"",COUNTIF(W136:W140,"Ya")/5*100)</f>
        <v/>
      </c>
      <c r="X135" s="31" t="str">
        <f>IF(COUNTA(X136:X140)=0,"",COUNTIF(X136:X140,"Ya")/5*100)</f>
        <v/>
      </c>
      <c r="Y135" s="31" t="str">
        <f>IF(COUNTA(Y136:Y140)=0,"",COUNTIF(Y136:Y140,"Ya")/5*100)</f>
        <v/>
      </c>
      <c r="Z135" s="31" t="str">
        <f>_xlfn.IFERROR(AVERAGE(E135:Y135),"")</f>
        <v/>
      </c>
    </row>
    <row r="136" spans="8:8" ht="25.0" customHeight="1">
      <c r="A136" s="32"/>
      <c r="B136" s="33" t="s">
        <v>742</v>
      </c>
      <c r="C136" s="34" t="s">
        <v>743</v>
      </c>
      <c r="D136" s="32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spans="8:8" ht="25.0" customHeight="1">
      <c r="A137" s="32"/>
      <c r="B137" s="33" t="s">
        <v>1350</v>
      </c>
      <c r="C137" s="34" t="s">
        <v>1351</v>
      </c>
      <c r="D137" s="32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spans="8:8" ht="25.0" customHeight="1">
      <c r="A138" s="32"/>
      <c r="B138" s="33" t="s">
        <v>1352</v>
      </c>
      <c r="C138" s="34" t="s">
        <v>1353</v>
      </c>
      <c r="D138" s="32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spans="8:8" ht="25.0" customHeight="1">
      <c r="A139" s="32"/>
      <c r="B139" s="33" t="s">
        <v>1354</v>
      </c>
      <c r="C139" s="34" t="s">
        <v>1355</v>
      </c>
      <c r="D139" s="32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spans="8:8" ht="25.0" customHeight="1">
      <c r="A140" s="32"/>
      <c r="B140" s="33" t="s">
        <v>1356</v>
      </c>
      <c r="C140" s="34" t="s">
        <v>1357</v>
      </c>
      <c r="D140" s="32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spans="8:8" ht="18.0" customHeight="1">
      <c r="A141" s="36"/>
      <c r="B141" s="36"/>
      <c r="C141" s="37" t="s">
        <v>1358</v>
      </c>
      <c r="D141" s="38">
        <v>100.0</v>
      </c>
      <c r="E141" s="39" t="str">
        <f>IF((IF(ISNUMBER(E111),20,0)+IF(ISNUMBER(E117),20,0)+IF(ISNUMBER(E123),20,0)+IF(ISNUMBER(E129),20,0)+IF(ISNUMBER(E135),20,0))=0,"",(IF(ISNUMBER(E111),E111*20,0)+IF(ISNUMBER(E117),E117*20,0)+IF(ISNUMBER(E123),E123*20,0)+IF(ISNUMBER(E129),E129*20,0)+IF(ISNUMBER(E135),E135*20,0))/(IF(ISNUMBER(E111),20,0)+IF(ISNUMBER(E117),20,0)+IF(ISNUMBER(E123),20,0)+IF(ISNUMBER(E129),20,0)+IF(ISNUMBER(E135),20,0)))</f>
        <v/>
      </c>
      <c r="F141" s="39" t="str">
        <f>IF((IF(ISNUMBER(F111),20,0)+IF(ISNUMBER(F117),20,0)+IF(ISNUMBER(F123),20,0)+IF(ISNUMBER(F129),20,0)+IF(ISNUMBER(F135),20,0))=0,"",(IF(ISNUMBER(F111),F111*20,0)+IF(ISNUMBER(F117),F117*20,0)+IF(ISNUMBER(F123),F123*20,0)+IF(ISNUMBER(F129),F129*20,0)+IF(ISNUMBER(F135),F135*20,0))/(IF(ISNUMBER(F111),20,0)+IF(ISNUMBER(F117),20,0)+IF(ISNUMBER(F123),20,0)+IF(ISNUMBER(F129),20,0)+IF(ISNUMBER(F135),20,0)))</f>
        <v/>
      </c>
      <c r="G141" s="39" t="str">
        <f>IF((IF(ISNUMBER(G111),20,0)+IF(ISNUMBER(G117),20,0)+IF(ISNUMBER(G123),20,0)+IF(ISNUMBER(G129),20,0)+IF(ISNUMBER(G135),20,0))=0,"",(IF(ISNUMBER(G111),G111*20,0)+IF(ISNUMBER(G117),G117*20,0)+IF(ISNUMBER(G123),G123*20,0)+IF(ISNUMBER(G129),G129*20,0)+IF(ISNUMBER(G135),G135*20,0))/(IF(ISNUMBER(G111),20,0)+IF(ISNUMBER(G117),20,0)+IF(ISNUMBER(G123),20,0)+IF(ISNUMBER(G129),20,0)+IF(ISNUMBER(G135),20,0)))</f>
        <v/>
      </c>
      <c r="H141" s="39" t="str">
        <f>IF((IF(ISNUMBER(H111),20,0)+IF(ISNUMBER(H117),20,0)+IF(ISNUMBER(H123),20,0)+IF(ISNUMBER(H129),20,0)+IF(ISNUMBER(H135),20,0))=0,"",(IF(ISNUMBER(H111),H111*20,0)+IF(ISNUMBER(H117),H117*20,0)+IF(ISNUMBER(H123),H123*20,0)+IF(ISNUMBER(H129),H129*20,0)+IF(ISNUMBER(H135),H135*20,0))/(IF(ISNUMBER(H111),20,0)+IF(ISNUMBER(H117),20,0)+IF(ISNUMBER(H123),20,0)+IF(ISNUMBER(H129),20,0)+IF(ISNUMBER(H135),20,0)))</f>
        <v/>
      </c>
      <c r="I141" s="39" t="str">
        <f>IF((IF(ISNUMBER(I111),20,0)+IF(ISNUMBER(I117),20,0)+IF(ISNUMBER(I123),20,0)+IF(ISNUMBER(I129),20,0)+IF(ISNUMBER(I135),20,0))=0,"",(IF(ISNUMBER(I111),I111*20,0)+IF(ISNUMBER(I117),I117*20,0)+IF(ISNUMBER(I123),I123*20,0)+IF(ISNUMBER(I129),I129*20,0)+IF(ISNUMBER(I135),I135*20,0))/(IF(ISNUMBER(I111),20,0)+IF(ISNUMBER(I117),20,0)+IF(ISNUMBER(I123),20,0)+IF(ISNUMBER(I129),20,0)+IF(ISNUMBER(I135),20,0)))</f>
        <v/>
      </c>
      <c r="J141" s="39" t="str">
        <f>IF((IF(ISNUMBER(J111),20,0)+IF(ISNUMBER(J117),20,0)+IF(ISNUMBER(J123),20,0)+IF(ISNUMBER(J129),20,0)+IF(ISNUMBER(J135),20,0))=0,"",(IF(ISNUMBER(J111),J111*20,0)+IF(ISNUMBER(J117),J117*20,0)+IF(ISNUMBER(J123),J123*20,0)+IF(ISNUMBER(J129),J129*20,0)+IF(ISNUMBER(J135),J135*20,0))/(IF(ISNUMBER(J111),20,0)+IF(ISNUMBER(J117),20,0)+IF(ISNUMBER(J123),20,0)+IF(ISNUMBER(J129),20,0)+IF(ISNUMBER(J135),20,0)))</f>
        <v/>
      </c>
      <c r="K141" s="39" t="str">
        <f>IF((IF(ISNUMBER(K111),20,0)+IF(ISNUMBER(K117),20,0)+IF(ISNUMBER(K123),20,0)+IF(ISNUMBER(K129),20,0)+IF(ISNUMBER(K135),20,0))=0,"",(IF(ISNUMBER(K111),K111*20,0)+IF(ISNUMBER(K117),K117*20,0)+IF(ISNUMBER(K123),K123*20,0)+IF(ISNUMBER(K129),K129*20,0)+IF(ISNUMBER(K135),K135*20,0))/(IF(ISNUMBER(K111),20,0)+IF(ISNUMBER(K117),20,0)+IF(ISNUMBER(K123),20,0)+IF(ISNUMBER(K129),20,0)+IF(ISNUMBER(K135),20,0)))</f>
        <v/>
      </c>
      <c r="L141" s="39" t="str">
        <f>IF((IF(ISNUMBER(L111),20,0)+IF(ISNUMBER(L117),20,0)+IF(ISNUMBER(L123),20,0)+IF(ISNUMBER(L129),20,0)+IF(ISNUMBER(L135),20,0))=0,"",(IF(ISNUMBER(L111),L111*20,0)+IF(ISNUMBER(L117),L117*20,0)+IF(ISNUMBER(L123),L123*20,0)+IF(ISNUMBER(L129),L129*20,0)+IF(ISNUMBER(L135),L135*20,0))/(IF(ISNUMBER(L111),20,0)+IF(ISNUMBER(L117),20,0)+IF(ISNUMBER(L123),20,0)+IF(ISNUMBER(L129),20,0)+IF(ISNUMBER(L135),20,0)))</f>
        <v/>
      </c>
      <c r="M141" s="39" t="str">
        <f>IF((IF(ISNUMBER(M111),20,0)+IF(ISNUMBER(M117),20,0)+IF(ISNUMBER(M123),20,0)+IF(ISNUMBER(M129),20,0)+IF(ISNUMBER(M135),20,0))=0,"",(IF(ISNUMBER(M111),M111*20,0)+IF(ISNUMBER(M117),M117*20,0)+IF(ISNUMBER(M123),M123*20,0)+IF(ISNUMBER(M129),M129*20,0)+IF(ISNUMBER(M135),M135*20,0))/(IF(ISNUMBER(M111),20,0)+IF(ISNUMBER(M117),20,0)+IF(ISNUMBER(M123),20,0)+IF(ISNUMBER(M129),20,0)+IF(ISNUMBER(M135),20,0)))</f>
        <v/>
      </c>
      <c r="N141" s="39" t="str">
        <f>IF((IF(ISNUMBER(N111),20,0)+IF(ISNUMBER(N117),20,0)+IF(ISNUMBER(N123),20,0)+IF(ISNUMBER(N129),20,0)+IF(ISNUMBER(N135),20,0))=0,"",(IF(ISNUMBER(N111),N111*20,0)+IF(ISNUMBER(N117),N117*20,0)+IF(ISNUMBER(N123),N123*20,0)+IF(ISNUMBER(N129),N129*20,0)+IF(ISNUMBER(N135),N135*20,0))/(IF(ISNUMBER(N111),20,0)+IF(ISNUMBER(N117),20,0)+IF(ISNUMBER(N123),20,0)+IF(ISNUMBER(N129),20,0)+IF(ISNUMBER(N135),20,0)))</f>
        <v/>
      </c>
      <c r="O141" s="39" t="str">
        <f>IF((IF(ISNUMBER(O111),20,0)+IF(ISNUMBER(O117),20,0)+IF(ISNUMBER(O123),20,0)+IF(ISNUMBER(O129),20,0)+IF(ISNUMBER(O135),20,0))=0,"",(IF(ISNUMBER(O111),O111*20,0)+IF(ISNUMBER(O117),O117*20,0)+IF(ISNUMBER(O123),O123*20,0)+IF(ISNUMBER(O129),O129*20,0)+IF(ISNUMBER(O135),O135*20,0))/(IF(ISNUMBER(O111),20,0)+IF(ISNUMBER(O117),20,0)+IF(ISNUMBER(O123),20,0)+IF(ISNUMBER(O129),20,0)+IF(ISNUMBER(O135),20,0)))</f>
        <v/>
      </c>
      <c r="P141" s="39" t="str">
        <f>IF((IF(ISNUMBER(P111),20,0)+IF(ISNUMBER(P117),20,0)+IF(ISNUMBER(P123),20,0)+IF(ISNUMBER(P129),20,0)+IF(ISNUMBER(P135),20,0))=0,"",(IF(ISNUMBER(P111),P111*20,0)+IF(ISNUMBER(P117),P117*20,0)+IF(ISNUMBER(P123),P123*20,0)+IF(ISNUMBER(P129),P129*20,0)+IF(ISNUMBER(P135),P135*20,0))/(IF(ISNUMBER(P111),20,0)+IF(ISNUMBER(P117),20,0)+IF(ISNUMBER(P123),20,0)+IF(ISNUMBER(P129),20,0)+IF(ISNUMBER(P135),20,0)))</f>
        <v/>
      </c>
      <c r="Q141" s="39" t="str">
        <f>IF((IF(ISNUMBER(Q111),20,0)+IF(ISNUMBER(Q117),20,0)+IF(ISNUMBER(Q123),20,0)+IF(ISNUMBER(Q129),20,0)+IF(ISNUMBER(Q135),20,0))=0,"",(IF(ISNUMBER(Q111),Q111*20,0)+IF(ISNUMBER(Q117),Q117*20,0)+IF(ISNUMBER(Q123),Q123*20,0)+IF(ISNUMBER(Q129),Q129*20,0)+IF(ISNUMBER(Q135),Q135*20,0))/(IF(ISNUMBER(Q111),20,0)+IF(ISNUMBER(Q117),20,0)+IF(ISNUMBER(Q123),20,0)+IF(ISNUMBER(Q129),20,0)+IF(ISNUMBER(Q135),20,0)))</f>
        <v/>
      </c>
      <c r="R141" s="39" t="str">
        <f>IF((IF(ISNUMBER(R111),20,0)+IF(ISNUMBER(R117),20,0)+IF(ISNUMBER(R123),20,0)+IF(ISNUMBER(R129),20,0)+IF(ISNUMBER(R135),20,0))=0,"",(IF(ISNUMBER(R111),R111*20,0)+IF(ISNUMBER(R117),R117*20,0)+IF(ISNUMBER(R123),R123*20,0)+IF(ISNUMBER(R129),R129*20,0)+IF(ISNUMBER(R135),R135*20,0))/(IF(ISNUMBER(R111),20,0)+IF(ISNUMBER(R117),20,0)+IF(ISNUMBER(R123),20,0)+IF(ISNUMBER(R129),20,0)+IF(ISNUMBER(R135),20,0)))</f>
        <v/>
      </c>
      <c r="S141" s="39" t="str">
        <f>IF((IF(ISNUMBER(S111),20,0)+IF(ISNUMBER(S117),20,0)+IF(ISNUMBER(S123),20,0)+IF(ISNUMBER(S129),20,0)+IF(ISNUMBER(S135),20,0))=0,"",(IF(ISNUMBER(S111),S111*20,0)+IF(ISNUMBER(S117),S117*20,0)+IF(ISNUMBER(S123),S123*20,0)+IF(ISNUMBER(S129),S129*20,0)+IF(ISNUMBER(S135),S135*20,0))/(IF(ISNUMBER(S111),20,0)+IF(ISNUMBER(S117),20,0)+IF(ISNUMBER(S123),20,0)+IF(ISNUMBER(S129),20,0)+IF(ISNUMBER(S135),20,0)))</f>
        <v/>
      </c>
      <c r="T141" s="39" t="str">
        <f>IF((IF(ISNUMBER(T111),20,0)+IF(ISNUMBER(T117),20,0)+IF(ISNUMBER(T123),20,0)+IF(ISNUMBER(T129),20,0)+IF(ISNUMBER(T135),20,0))=0,"",(IF(ISNUMBER(T111),T111*20,0)+IF(ISNUMBER(T117),T117*20,0)+IF(ISNUMBER(T123),T123*20,0)+IF(ISNUMBER(T129),T129*20,0)+IF(ISNUMBER(T135),T135*20,0))/(IF(ISNUMBER(T111),20,0)+IF(ISNUMBER(T117),20,0)+IF(ISNUMBER(T123),20,0)+IF(ISNUMBER(T129),20,0)+IF(ISNUMBER(T135),20,0)))</f>
        <v/>
      </c>
      <c r="U141" s="39" t="str">
        <f>IF((IF(ISNUMBER(U111),20,0)+IF(ISNUMBER(U117),20,0)+IF(ISNUMBER(U123),20,0)+IF(ISNUMBER(U129),20,0)+IF(ISNUMBER(U135),20,0))=0,"",(IF(ISNUMBER(U111),U111*20,0)+IF(ISNUMBER(U117),U117*20,0)+IF(ISNUMBER(U123),U123*20,0)+IF(ISNUMBER(U129),U129*20,0)+IF(ISNUMBER(U135),U135*20,0))/(IF(ISNUMBER(U111),20,0)+IF(ISNUMBER(U117),20,0)+IF(ISNUMBER(U123),20,0)+IF(ISNUMBER(U129),20,0)+IF(ISNUMBER(U135),20,0)))</f>
        <v/>
      </c>
      <c r="V141" s="39" t="str">
        <f>IF((IF(ISNUMBER(V111),20,0)+IF(ISNUMBER(V117),20,0)+IF(ISNUMBER(V123),20,0)+IF(ISNUMBER(V129),20,0)+IF(ISNUMBER(V135),20,0))=0,"",(IF(ISNUMBER(V111),V111*20,0)+IF(ISNUMBER(V117),V117*20,0)+IF(ISNUMBER(V123),V123*20,0)+IF(ISNUMBER(V129),V129*20,0)+IF(ISNUMBER(V135),V135*20,0))/(IF(ISNUMBER(V111),20,0)+IF(ISNUMBER(V117),20,0)+IF(ISNUMBER(V123),20,0)+IF(ISNUMBER(V129),20,0)+IF(ISNUMBER(V135),20,0)))</f>
        <v/>
      </c>
      <c r="W141" s="39" t="str">
        <f>IF((IF(ISNUMBER(W111),20,0)+IF(ISNUMBER(W117),20,0)+IF(ISNUMBER(W123),20,0)+IF(ISNUMBER(W129),20,0)+IF(ISNUMBER(W135),20,0))=0,"",(IF(ISNUMBER(W111),W111*20,0)+IF(ISNUMBER(W117),W117*20,0)+IF(ISNUMBER(W123),W123*20,0)+IF(ISNUMBER(W129),W129*20,0)+IF(ISNUMBER(W135),W135*20,0))/(IF(ISNUMBER(W111),20,0)+IF(ISNUMBER(W117),20,0)+IF(ISNUMBER(W123),20,0)+IF(ISNUMBER(W129),20,0)+IF(ISNUMBER(W135),20,0)))</f>
        <v/>
      </c>
      <c r="X141" s="39" t="str">
        <f>IF((IF(ISNUMBER(X111),20,0)+IF(ISNUMBER(X117),20,0)+IF(ISNUMBER(X123),20,0)+IF(ISNUMBER(X129),20,0)+IF(ISNUMBER(X135),20,0))=0,"",(IF(ISNUMBER(X111),X111*20,0)+IF(ISNUMBER(X117),X117*20,0)+IF(ISNUMBER(X123),X123*20,0)+IF(ISNUMBER(X129),X129*20,0)+IF(ISNUMBER(X135),X135*20,0))/(IF(ISNUMBER(X111),20,0)+IF(ISNUMBER(X117),20,0)+IF(ISNUMBER(X123),20,0)+IF(ISNUMBER(X129),20,0)+IF(ISNUMBER(X135),20,0)))</f>
        <v/>
      </c>
      <c r="Y141" s="39" t="str">
        <f>IF((IF(ISNUMBER(Y111),20,0)+IF(ISNUMBER(Y117),20,0)+IF(ISNUMBER(Y123),20,0)+IF(ISNUMBER(Y129),20,0)+IF(ISNUMBER(Y135),20,0))=0,"",(IF(ISNUMBER(Y111),Y111*20,0)+IF(ISNUMBER(Y117),Y117*20,0)+IF(ISNUMBER(Y123),Y123*20,0)+IF(ISNUMBER(Y129),Y129*20,0)+IF(ISNUMBER(Y135),Y135*20,0))/(IF(ISNUMBER(Y111),20,0)+IF(ISNUMBER(Y117),20,0)+IF(ISNUMBER(Y123),20,0)+IF(ISNUMBER(Y129),20,0)+IF(ISNUMBER(Y135),20,0)))</f>
        <v/>
      </c>
      <c r="Z141" s="39" t="str">
        <f>_xlfn.IFERROR(AVERAGE(E141:Y141),"")</f>
        <v/>
      </c>
    </row>
    <row r="142" spans="8:8" ht="22.0" customHeight="1">
      <c r="A142" s="40" t="s">
        <v>1359</v>
      </c>
      <c r="E142" s="41" t="str">
        <f>IF((IF(ISNUMBER(E5),5,0)+IF(ISNUMBER(E11),5,0)+IF(ISNUMBER(E17),5,0)+IF(ISNUMBER(E23),5,0)+IF(ISNUMBER(E31),5,0)+IF(ISNUMBER(E37),5,0)+IF(ISNUMBER(E43),5,0)+IF(ISNUMBER(E49),5,0)+IF(ISNUMBER(E57),6.7,0)+IF(ISNUMBER(E63),6.7,0)+IF(ISNUMBER(E69),6.6,0)+IF(ISNUMBER(E77),10,0)+IF(ISNUMBER(E83),10,0)+IF(ISNUMBER(E91),6.7,0)+IF(ISNUMBER(E97),6.7,0)+IF(ISNUMBER(E103),6.6,0)+IF(ISNUMBER(E111),20,0)+IF(ISNUMBER(E117),20,0)+IF(ISNUMBER(E123),20,0)+IF(ISNUMBER(E129),20,0)+IF(ISNUMBER(E135),20,0))=0,"",(IF(ISNUMBER(E5),E5*5,0)+IF(ISNUMBER(E11),E11*5,0)+IF(ISNUMBER(E17),E17*5,0)+IF(ISNUMBER(E23),E23*5,0)+IF(ISNUMBER(E31),E31*5,0)+IF(ISNUMBER(E37),E37*5,0)+IF(ISNUMBER(E43),E43*5,0)+IF(ISNUMBER(E49),E49*5,0)+IF(ISNUMBER(E57),E57*6.7,0)+IF(ISNUMBER(E63),E63*6.7,0)+IF(ISNUMBER(E69),E69*6.6,0)+IF(ISNUMBER(E77),E77*10,0)+IF(ISNUMBER(E83),E83*10,0)+IF(ISNUMBER(E91),E91*6.7,0)+IF(ISNUMBER(E97),E97*6.7,0)+IF(ISNUMBER(E103),E103*6.6,0)+IF(ISNUMBER(E111),E111*20,0)+IF(ISNUMBER(E117),E117*20,0)+IF(ISNUMBER(E123),E123*20,0)+IF(ISNUMBER(E129),E129*20,0)+IF(ISNUMBER(E135),E135*20,0))/(IF(ISNUMBER(E5),5,0)+IF(ISNUMBER(E11),5,0)+IF(ISNUMBER(E17),5,0)+IF(ISNUMBER(E23),5,0)+IF(ISNUMBER(E31),5,0)+IF(ISNUMBER(E37),5,0)+IF(ISNUMBER(E43),5,0)+IF(ISNUMBER(E49),5,0)+IF(ISNUMBER(E57),6.7,0)+IF(ISNUMBER(E63),6.7,0)+IF(ISNUMBER(E69),6.6,0)+IF(ISNUMBER(E77),10,0)+IF(ISNUMBER(E83),10,0)+IF(ISNUMBER(E91),6.7,0)+IF(ISNUMBER(E97),6.7,0)+IF(ISNUMBER(E103),6.6,0)+IF(ISNUMBER(E111),20,0)+IF(ISNUMBER(E117),20,0)+IF(ISNUMBER(E123),20,0)+IF(ISNUMBER(E129),20,0)+IF(ISNUMBER(E135),20,0)))</f>
        <v/>
      </c>
      <c r="F142" s="41" t="str">
        <f>IF((IF(ISNUMBER(F5),5,0)+IF(ISNUMBER(F11),5,0)+IF(ISNUMBER(F17),5,0)+IF(ISNUMBER(F23),5,0)+IF(ISNUMBER(F31),5,0)+IF(ISNUMBER(F37),5,0)+IF(ISNUMBER(F43),5,0)+IF(ISNUMBER(F49),5,0)+IF(ISNUMBER(F57),6.7,0)+IF(ISNUMBER(F63),6.7,0)+IF(ISNUMBER(F69),6.6,0)+IF(ISNUMBER(F77),10,0)+IF(ISNUMBER(F83),10,0)+IF(ISNUMBER(F91),6.7,0)+IF(ISNUMBER(F97),6.7,0)+IF(ISNUMBER(F103),6.6,0)+IF(ISNUMBER(F111),20,0)+IF(ISNUMBER(F117),20,0)+IF(ISNUMBER(F123),20,0)+IF(ISNUMBER(F129),20,0)+IF(ISNUMBER(F135),20,0))=0,"",(IF(ISNUMBER(F5),F5*5,0)+IF(ISNUMBER(F11),F11*5,0)+IF(ISNUMBER(F17),F17*5,0)+IF(ISNUMBER(F23),F23*5,0)+IF(ISNUMBER(F31),F31*5,0)+IF(ISNUMBER(F37),F37*5,0)+IF(ISNUMBER(F43),F43*5,0)+IF(ISNUMBER(F49),F49*5,0)+IF(ISNUMBER(F57),F57*6.7,0)+IF(ISNUMBER(F63),F63*6.7,0)+IF(ISNUMBER(F69),F69*6.6,0)+IF(ISNUMBER(F77),F77*10,0)+IF(ISNUMBER(F83),F83*10,0)+IF(ISNUMBER(F91),F91*6.7,0)+IF(ISNUMBER(F97),F97*6.7,0)+IF(ISNUMBER(F103),F103*6.6,0)+IF(ISNUMBER(F111),F111*20,0)+IF(ISNUMBER(F117),F117*20,0)+IF(ISNUMBER(F123),F123*20,0)+IF(ISNUMBER(F129),F129*20,0)+IF(ISNUMBER(F135),F135*20,0))/(IF(ISNUMBER(F5),5,0)+IF(ISNUMBER(F11),5,0)+IF(ISNUMBER(F17),5,0)+IF(ISNUMBER(F23),5,0)+IF(ISNUMBER(F31),5,0)+IF(ISNUMBER(F37),5,0)+IF(ISNUMBER(F43),5,0)+IF(ISNUMBER(F49),5,0)+IF(ISNUMBER(F57),6.7,0)+IF(ISNUMBER(F63),6.7,0)+IF(ISNUMBER(F69),6.6,0)+IF(ISNUMBER(F77),10,0)+IF(ISNUMBER(F83),10,0)+IF(ISNUMBER(F91),6.7,0)+IF(ISNUMBER(F97),6.7,0)+IF(ISNUMBER(F103),6.6,0)+IF(ISNUMBER(F111),20,0)+IF(ISNUMBER(F117),20,0)+IF(ISNUMBER(F123),20,0)+IF(ISNUMBER(F129),20,0)+IF(ISNUMBER(F135),20,0)))</f>
        <v/>
      </c>
      <c r="G142" s="41" t="str">
        <f>IF((IF(ISNUMBER(G5),5,0)+IF(ISNUMBER(G11),5,0)+IF(ISNUMBER(G17),5,0)+IF(ISNUMBER(G23),5,0)+IF(ISNUMBER(G31),5,0)+IF(ISNUMBER(G37),5,0)+IF(ISNUMBER(G43),5,0)+IF(ISNUMBER(G49),5,0)+IF(ISNUMBER(G57),6.7,0)+IF(ISNUMBER(G63),6.7,0)+IF(ISNUMBER(G69),6.6,0)+IF(ISNUMBER(G77),10,0)+IF(ISNUMBER(G83),10,0)+IF(ISNUMBER(G91),6.7,0)+IF(ISNUMBER(G97),6.7,0)+IF(ISNUMBER(G103),6.6,0)+IF(ISNUMBER(G111),20,0)+IF(ISNUMBER(G117),20,0)+IF(ISNUMBER(G123),20,0)+IF(ISNUMBER(G129),20,0)+IF(ISNUMBER(G135),20,0))=0,"",(IF(ISNUMBER(G5),G5*5,0)+IF(ISNUMBER(G11),G11*5,0)+IF(ISNUMBER(G17),G17*5,0)+IF(ISNUMBER(G23),G23*5,0)+IF(ISNUMBER(G31),G31*5,0)+IF(ISNUMBER(G37),G37*5,0)+IF(ISNUMBER(G43),G43*5,0)+IF(ISNUMBER(G49),G49*5,0)+IF(ISNUMBER(G57),G57*6.7,0)+IF(ISNUMBER(G63),G63*6.7,0)+IF(ISNUMBER(G69),G69*6.6,0)+IF(ISNUMBER(G77),G77*10,0)+IF(ISNUMBER(G83),G83*10,0)+IF(ISNUMBER(G91),G91*6.7,0)+IF(ISNUMBER(G97),G97*6.7,0)+IF(ISNUMBER(G103),G103*6.6,0)+IF(ISNUMBER(G111),G111*20,0)+IF(ISNUMBER(G117),G117*20,0)+IF(ISNUMBER(G123),G123*20,0)+IF(ISNUMBER(G129),G129*20,0)+IF(ISNUMBER(G135),G135*20,0))/(IF(ISNUMBER(G5),5,0)+IF(ISNUMBER(G11),5,0)+IF(ISNUMBER(G17),5,0)+IF(ISNUMBER(G23),5,0)+IF(ISNUMBER(G31),5,0)+IF(ISNUMBER(G37),5,0)+IF(ISNUMBER(G43),5,0)+IF(ISNUMBER(G49),5,0)+IF(ISNUMBER(G57),6.7,0)+IF(ISNUMBER(G63),6.7,0)+IF(ISNUMBER(G69),6.6,0)+IF(ISNUMBER(G77),10,0)+IF(ISNUMBER(G83),10,0)+IF(ISNUMBER(G91),6.7,0)+IF(ISNUMBER(G97),6.7,0)+IF(ISNUMBER(G103),6.6,0)+IF(ISNUMBER(G111),20,0)+IF(ISNUMBER(G117),20,0)+IF(ISNUMBER(G123),20,0)+IF(ISNUMBER(G129),20,0)+IF(ISNUMBER(G135),20,0)))</f>
        <v/>
      </c>
      <c r="H142" s="41" t="str">
        <f>IF((IF(ISNUMBER(H5),5,0)+IF(ISNUMBER(H11),5,0)+IF(ISNUMBER(H17),5,0)+IF(ISNUMBER(H23),5,0)+IF(ISNUMBER(H31),5,0)+IF(ISNUMBER(H37),5,0)+IF(ISNUMBER(H43),5,0)+IF(ISNUMBER(H49),5,0)+IF(ISNUMBER(H57),6.7,0)+IF(ISNUMBER(H63),6.7,0)+IF(ISNUMBER(H69),6.6,0)+IF(ISNUMBER(H77),10,0)+IF(ISNUMBER(H83),10,0)+IF(ISNUMBER(H91),6.7,0)+IF(ISNUMBER(H97),6.7,0)+IF(ISNUMBER(H103),6.6,0)+IF(ISNUMBER(H111),20,0)+IF(ISNUMBER(H117),20,0)+IF(ISNUMBER(H123),20,0)+IF(ISNUMBER(H129),20,0)+IF(ISNUMBER(H135),20,0))=0,"",(IF(ISNUMBER(H5),H5*5,0)+IF(ISNUMBER(H11),H11*5,0)+IF(ISNUMBER(H17),H17*5,0)+IF(ISNUMBER(H23),H23*5,0)+IF(ISNUMBER(H31),H31*5,0)+IF(ISNUMBER(H37),H37*5,0)+IF(ISNUMBER(H43),H43*5,0)+IF(ISNUMBER(H49),H49*5,0)+IF(ISNUMBER(H57),H57*6.7,0)+IF(ISNUMBER(H63),H63*6.7,0)+IF(ISNUMBER(H69),H69*6.6,0)+IF(ISNUMBER(H77),H77*10,0)+IF(ISNUMBER(H83),H83*10,0)+IF(ISNUMBER(H91),H91*6.7,0)+IF(ISNUMBER(H97),H97*6.7,0)+IF(ISNUMBER(H103),H103*6.6,0)+IF(ISNUMBER(H111),H111*20,0)+IF(ISNUMBER(H117),H117*20,0)+IF(ISNUMBER(H123),H123*20,0)+IF(ISNUMBER(H129),H129*20,0)+IF(ISNUMBER(H135),H135*20,0))/(IF(ISNUMBER(H5),5,0)+IF(ISNUMBER(H11),5,0)+IF(ISNUMBER(H17),5,0)+IF(ISNUMBER(H23),5,0)+IF(ISNUMBER(H31),5,0)+IF(ISNUMBER(H37),5,0)+IF(ISNUMBER(H43),5,0)+IF(ISNUMBER(H49),5,0)+IF(ISNUMBER(H57),6.7,0)+IF(ISNUMBER(H63),6.7,0)+IF(ISNUMBER(H69),6.6,0)+IF(ISNUMBER(H77),10,0)+IF(ISNUMBER(H83),10,0)+IF(ISNUMBER(H91),6.7,0)+IF(ISNUMBER(H97),6.7,0)+IF(ISNUMBER(H103),6.6,0)+IF(ISNUMBER(H111),20,0)+IF(ISNUMBER(H117),20,0)+IF(ISNUMBER(H123),20,0)+IF(ISNUMBER(H129),20,0)+IF(ISNUMBER(H135),20,0)))</f>
        <v/>
      </c>
      <c r="I142" s="41" t="str">
        <f>IF((IF(ISNUMBER(I5),5,0)+IF(ISNUMBER(I11),5,0)+IF(ISNUMBER(I17),5,0)+IF(ISNUMBER(I23),5,0)+IF(ISNUMBER(I31),5,0)+IF(ISNUMBER(I37),5,0)+IF(ISNUMBER(I43),5,0)+IF(ISNUMBER(I49),5,0)+IF(ISNUMBER(I57),6.7,0)+IF(ISNUMBER(I63),6.7,0)+IF(ISNUMBER(I69),6.6,0)+IF(ISNUMBER(I77),10,0)+IF(ISNUMBER(I83),10,0)+IF(ISNUMBER(I91),6.7,0)+IF(ISNUMBER(I97),6.7,0)+IF(ISNUMBER(I103),6.6,0)+IF(ISNUMBER(I111),20,0)+IF(ISNUMBER(I117),20,0)+IF(ISNUMBER(I123),20,0)+IF(ISNUMBER(I129),20,0)+IF(ISNUMBER(I135),20,0))=0,"",(IF(ISNUMBER(I5),I5*5,0)+IF(ISNUMBER(I11),I11*5,0)+IF(ISNUMBER(I17),I17*5,0)+IF(ISNUMBER(I23),I23*5,0)+IF(ISNUMBER(I31),I31*5,0)+IF(ISNUMBER(I37),I37*5,0)+IF(ISNUMBER(I43),I43*5,0)+IF(ISNUMBER(I49),I49*5,0)+IF(ISNUMBER(I57),I57*6.7,0)+IF(ISNUMBER(I63),I63*6.7,0)+IF(ISNUMBER(I69),I69*6.6,0)+IF(ISNUMBER(I77),I77*10,0)+IF(ISNUMBER(I83),I83*10,0)+IF(ISNUMBER(I91),I91*6.7,0)+IF(ISNUMBER(I97),I97*6.7,0)+IF(ISNUMBER(I103),I103*6.6,0)+IF(ISNUMBER(I111),I111*20,0)+IF(ISNUMBER(I117),I117*20,0)+IF(ISNUMBER(I123),I123*20,0)+IF(ISNUMBER(I129),I129*20,0)+IF(ISNUMBER(I135),I135*20,0))/(IF(ISNUMBER(I5),5,0)+IF(ISNUMBER(I11),5,0)+IF(ISNUMBER(I17),5,0)+IF(ISNUMBER(I23),5,0)+IF(ISNUMBER(I31),5,0)+IF(ISNUMBER(I37),5,0)+IF(ISNUMBER(I43),5,0)+IF(ISNUMBER(I49),5,0)+IF(ISNUMBER(I57),6.7,0)+IF(ISNUMBER(I63),6.7,0)+IF(ISNUMBER(I69),6.6,0)+IF(ISNUMBER(I77),10,0)+IF(ISNUMBER(I83),10,0)+IF(ISNUMBER(I91),6.7,0)+IF(ISNUMBER(I97),6.7,0)+IF(ISNUMBER(I103),6.6,0)+IF(ISNUMBER(I111),20,0)+IF(ISNUMBER(I117),20,0)+IF(ISNUMBER(I123),20,0)+IF(ISNUMBER(I129),20,0)+IF(ISNUMBER(I135),20,0)))</f>
        <v/>
      </c>
      <c r="J142" s="41" t="str">
        <f>IF((IF(ISNUMBER(J5),5,0)+IF(ISNUMBER(J11),5,0)+IF(ISNUMBER(J17),5,0)+IF(ISNUMBER(J23),5,0)+IF(ISNUMBER(J31),5,0)+IF(ISNUMBER(J37),5,0)+IF(ISNUMBER(J43),5,0)+IF(ISNUMBER(J49),5,0)+IF(ISNUMBER(J57),6.7,0)+IF(ISNUMBER(J63),6.7,0)+IF(ISNUMBER(J69),6.6,0)+IF(ISNUMBER(J77),10,0)+IF(ISNUMBER(J83),10,0)+IF(ISNUMBER(J91),6.7,0)+IF(ISNUMBER(J97),6.7,0)+IF(ISNUMBER(J103),6.6,0)+IF(ISNUMBER(J111),20,0)+IF(ISNUMBER(J117),20,0)+IF(ISNUMBER(J123),20,0)+IF(ISNUMBER(J129),20,0)+IF(ISNUMBER(J135),20,0))=0,"",(IF(ISNUMBER(J5),J5*5,0)+IF(ISNUMBER(J11),J11*5,0)+IF(ISNUMBER(J17),J17*5,0)+IF(ISNUMBER(J23),J23*5,0)+IF(ISNUMBER(J31),J31*5,0)+IF(ISNUMBER(J37),J37*5,0)+IF(ISNUMBER(J43),J43*5,0)+IF(ISNUMBER(J49),J49*5,0)+IF(ISNUMBER(J57),J57*6.7,0)+IF(ISNUMBER(J63),J63*6.7,0)+IF(ISNUMBER(J69),J69*6.6,0)+IF(ISNUMBER(J77),J77*10,0)+IF(ISNUMBER(J83),J83*10,0)+IF(ISNUMBER(J91),J91*6.7,0)+IF(ISNUMBER(J97),J97*6.7,0)+IF(ISNUMBER(J103),J103*6.6,0)+IF(ISNUMBER(J111),J111*20,0)+IF(ISNUMBER(J117),J117*20,0)+IF(ISNUMBER(J123),J123*20,0)+IF(ISNUMBER(J129),J129*20,0)+IF(ISNUMBER(J135),J135*20,0))/(IF(ISNUMBER(J5),5,0)+IF(ISNUMBER(J11),5,0)+IF(ISNUMBER(J17),5,0)+IF(ISNUMBER(J23),5,0)+IF(ISNUMBER(J31),5,0)+IF(ISNUMBER(J37),5,0)+IF(ISNUMBER(J43),5,0)+IF(ISNUMBER(J49),5,0)+IF(ISNUMBER(J57),6.7,0)+IF(ISNUMBER(J63),6.7,0)+IF(ISNUMBER(J69),6.6,0)+IF(ISNUMBER(J77),10,0)+IF(ISNUMBER(J83),10,0)+IF(ISNUMBER(J91),6.7,0)+IF(ISNUMBER(J97),6.7,0)+IF(ISNUMBER(J103),6.6,0)+IF(ISNUMBER(J111),20,0)+IF(ISNUMBER(J117),20,0)+IF(ISNUMBER(J123),20,0)+IF(ISNUMBER(J129),20,0)+IF(ISNUMBER(J135),20,0)))</f>
        <v/>
      </c>
      <c r="K142" s="41" t="str">
        <f>IF((IF(ISNUMBER(K5),5,0)+IF(ISNUMBER(K11),5,0)+IF(ISNUMBER(K17),5,0)+IF(ISNUMBER(K23),5,0)+IF(ISNUMBER(K31),5,0)+IF(ISNUMBER(K37),5,0)+IF(ISNUMBER(K43),5,0)+IF(ISNUMBER(K49),5,0)+IF(ISNUMBER(K57),6.7,0)+IF(ISNUMBER(K63),6.7,0)+IF(ISNUMBER(K69),6.6,0)+IF(ISNUMBER(K77),10,0)+IF(ISNUMBER(K83),10,0)+IF(ISNUMBER(K91),6.7,0)+IF(ISNUMBER(K97),6.7,0)+IF(ISNUMBER(K103),6.6,0)+IF(ISNUMBER(K111),20,0)+IF(ISNUMBER(K117),20,0)+IF(ISNUMBER(K123),20,0)+IF(ISNUMBER(K129),20,0)+IF(ISNUMBER(K135),20,0))=0,"",(IF(ISNUMBER(K5),K5*5,0)+IF(ISNUMBER(K11),K11*5,0)+IF(ISNUMBER(K17),K17*5,0)+IF(ISNUMBER(K23),K23*5,0)+IF(ISNUMBER(K31),K31*5,0)+IF(ISNUMBER(K37),K37*5,0)+IF(ISNUMBER(K43),K43*5,0)+IF(ISNUMBER(K49),K49*5,0)+IF(ISNUMBER(K57),K57*6.7,0)+IF(ISNUMBER(K63),K63*6.7,0)+IF(ISNUMBER(K69),K69*6.6,0)+IF(ISNUMBER(K77),K77*10,0)+IF(ISNUMBER(K83),K83*10,0)+IF(ISNUMBER(K91),K91*6.7,0)+IF(ISNUMBER(K97),K97*6.7,0)+IF(ISNUMBER(K103),K103*6.6,0)+IF(ISNUMBER(K111),K111*20,0)+IF(ISNUMBER(K117),K117*20,0)+IF(ISNUMBER(K123),K123*20,0)+IF(ISNUMBER(K129),K129*20,0)+IF(ISNUMBER(K135),K135*20,0))/(IF(ISNUMBER(K5),5,0)+IF(ISNUMBER(K11),5,0)+IF(ISNUMBER(K17),5,0)+IF(ISNUMBER(K23),5,0)+IF(ISNUMBER(K31),5,0)+IF(ISNUMBER(K37),5,0)+IF(ISNUMBER(K43),5,0)+IF(ISNUMBER(K49),5,0)+IF(ISNUMBER(K57),6.7,0)+IF(ISNUMBER(K63),6.7,0)+IF(ISNUMBER(K69),6.6,0)+IF(ISNUMBER(K77),10,0)+IF(ISNUMBER(K83),10,0)+IF(ISNUMBER(K91),6.7,0)+IF(ISNUMBER(K97),6.7,0)+IF(ISNUMBER(K103),6.6,0)+IF(ISNUMBER(K111),20,0)+IF(ISNUMBER(K117),20,0)+IF(ISNUMBER(K123),20,0)+IF(ISNUMBER(K129),20,0)+IF(ISNUMBER(K135),20,0)))</f>
        <v/>
      </c>
      <c r="L142" s="41" t="str">
        <f>IF((IF(ISNUMBER(L5),5,0)+IF(ISNUMBER(L11),5,0)+IF(ISNUMBER(L17),5,0)+IF(ISNUMBER(L23),5,0)+IF(ISNUMBER(L31),5,0)+IF(ISNUMBER(L37),5,0)+IF(ISNUMBER(L43),5,0)+IF(ISNUMBER(L49),5,0)+IF(ISNUMBER(L57),6.7,0)+IF(ISNUMBER(L63),6.7,0)+IF(ISNUMBER(L69),6.6,0)+IF(ISNUMBER(L77),10,0)+IF(ISNUMBER(L83),10,0)+IF(ISNUMBER(L91),6.7,0)+IF(ISNUMBER(L97),6.7,0)+IF(ISNUMBER(L103),6.6,0)+IF(ISNUMBER(L111),20,0)+IF(ISNUMBER(L117),20,0)+IF(ISNUMBER(L123),20,0)+IF(ISNUMBER(L129),20,0)+IF(ISNUMBER(L135),20,0))=0,"",(IF(ISNUMBER(L5),L5*5,0)+IF(ISNUMBER(L11),L11*5,0)+IF(ISNUMBER(L17),L17*5,0)+IF(ISNUMBER(L23),L23*5,0)+IF(ISNUMBER(L31),L31*5,0)+IF(ISNUMBER(L37),L37*5,0)+IF(ISNUMBER(L43),L43*5,0)+IF(ISNUMBER(L49),L49*5,0)+IF(ISNUMBER(L57),L57*6.7,0)+IF(ISNUMBER(L63),L63*6.7,0)+IF(ISNUMBER(L69),L69*6.6,0)+IF(ISNUMBER(L77),L77*10,0)+IF(ISNUMBER(L83),L83*10,0)+IF(ISNUMBER(L91),L91*6.7,0)+IF(ISNUMBER(L97),L97*6.7,0)+IF(ISNUMBER(L103),L103*6.6,0)+IF(ISNUMBER(L111),L111*20,0)+IF(ISNUMBER(L117),L117*20,0)+IF(ISNUMBER(L123),L123*20,0)+IF(ISNUMBER(L129),L129*20,0)+IF(ISNUMBER(L135),L135*20,0))/(IF(ISNUMBER(L5),5,0)+IF(ISNUMBER(L11),5,0)+IF(ISNUMBER(L17),5,0)+IF(ISNUMBER(L23),5,0)+IF(ISNUMBER(L31),5,0)+IF(ISNUMBER(L37),5,0)+IF(ISNUMBER(L43),5,0)+IF(ISNUMBER(L49),5,0)+IF(ISNUMBER(L57),6.7,0)+IF(ISNUMBER(L63),6.7,0)+IF(ISNUMBER(L69),6.6,0)+IF(ISNUMBER(L77),10,0)+IF(ISNUMBER(L83),10,0)+IF(ISNUMBER(L91),6.7,0)+IF(ISNUMBER(L97),6.7,0)+IF(ISNUMBER(L103),6.6,0)+IF(ISNUMBER(L111),20,0)+IF(ISNUMBER(L117),20,0)+IF(ISNUMBER(L123),20,0)+IF(ISNUMBER(L129),20,0)+IF(ISNUMBER(L135),20,0)))</f>
        <v/>
      </c>
      <c r="M142" s="41" t="str">
        <f>IF((IF(ISNUMBER(M5),5,0)+IF(ISNUMBER(M11),5,0)+IF(ISNUMBER(M17),5,0)+IF(ISNUMBER(M23),5,0)+IF(ISNUMBER(M31),5,0)+IF(ISNUMBER(M37),5,0)+IF(ISNUMBER(M43),5,0)+IF(ISNUMBER(M49),5,0)+IF(ISNUMBER(M57),6.7,0)+IF(ISNUMBER(M63),6.7,0)+IF(ISNUMBER(M69),6.6,0)+IF(ISNUMBER(M77),10,0)+IF(ISNUMBER(M83),10,0)+IF(ISNUMBER(M91),6.7,0)+IF(ISNUMBER(M97),6.7,0)+IF(ISNUMBER(M103),6.6,0)+IF(ISNUMBER(M111),20,0)+IF(ISNUMBER(M117),20,0)+IF(ISNUMBER(M123),20,0)+IF(ISNUMBER(M129),20,0)+IF(ISNUMBER(M135),20,0))=0,"",(IF(ISNUMBER(M5),M5*5,0)+IF(ISNUMBER(M11),M11*5,0)+IF(ISNUMBER(M17),M17*5,0)+IF(ISNUMBER(M23),M23*5,0)+IF(ISNUMBER(M31),M31*5,0)+IF(ISNUMBER(M37),M37*5,0)+IF(ISNUMBER(M43),M43*5,0)+IF(ISNUMBER(M49),M49*5,0)+IF(ISNUMBER(M57),M57*6.7,0)+IF(ISNUMBER(M63),M63*6.7,0)+IF(ISNUMBER(M69),M69*6.6,0)+IF(ISNUMBER(M77),M77*10,0)+IF(ISNUMBER(M83),M83*10,0)+IF(ISNUMBER(M91),M91*6.7,0)+IF(ISNUMBER(M97),M97*6.7,0)+IF(ISNUMBER(M103),M103*6.6,0)+IF(ISNUMBER(M111),M111*20,0)+IF(ISNUMBER(M117),M117*20,0)+IF(ISNUMBER(M123),M123*20,0)+IF(ISNUMBER(M129),M129*20,0)+IF(ISNUMBER(M135),M135*20,0))/(IF(ISNUMBER(M5),5,0)+IF(ISNUMBER(M11),5,0)+IF(ISNUMBER(M17),5,0)+IF(ISNUMBER(M23),5,0)+IF(ISNUMBER(M31),5,0)+IF(ISNUMBER(M37),5,0)+IF(ISNUMBER(M43),5,0)+IF(ISNUMBER(M49),5,0)+IF(ISNUMBER(M57),6.7,0)+IF(ISNUMBER(M63),6.7,0)+IF(ISNUMBER(M69),6.6,0)+IF(ISNUMBER(M77),10,0)+IF(ISNUMBER(M83),10,0)+IF(ISNUMBER(M91),6.7,0)+IF(ISNUMBER(M97),6.7,0)+IF(ISNUMBER(M103),6.6,0)+IF(ISNUMBER(M111),20,0)+IF(ISNUMBER(M117),20,0)+IF(ISNUMBER(M123),20,0)+IF(ISNUMBER(M129),20,0)+IF(ISNUMBER(M135),20,0)))</f>
        <v/>
      </c>
      <c r="N142" s="41" t="str">
        <f>IF((IF(ISNUMBER(N5),5,0)+IF(ISNUMBER(N11),5,0)+IF(ISNUMBER(N17),5,0)+IF(ISNUMBER(N23),5,0)+IF(ISNUMBER(N31),5,0)+IF(ISNUMBER(N37),5,0)+IF(ISNUMBER(N43),5,0)+IF(ISNUMBER(N49),5,0)+IF(ISNUMBER(N57),6.7,0)+IF(ISNUMBER(N63),6.7,0)+IF(ISNUMBER(N69),6.6,0)+IF(ISNUMBER(N77),10,0)+IF(ISNUMBER(N83),10,0)+IF(ISNUMBER(N91),6.7,0)+IF(ISNUMBER(N97),6.7,0)+IF(ISNUMBER(N103),6.6,0)+IF(ISNUMBER(N111),20,0)+IF(ISNUMBER(N117),20,0)+IF(ISNUMBER(N123),20,0)+IF(ISNUMBER(N129),20,0)+IF(ISNUMBER(N135),20,0))=0,"",(IF(ISNUMBER(N5),N5*5,0)+IF(ISNUMBER(N11),N11*5,0)+IF(ISNUMBER(N17),N17*5,0)+IF(ISNUMBER(N23),N23*5,0)+IF(ISNUMBER(N31),N31*5,0)+IF(ISNUMBER(N37),N37*5,0)+IF(ISNUMBER(N43),N43*5,0)+IF(ISNUMBER(N49),N49*5,0)+IF(ISNUMBER(N57),N57*6.7,0)+IF(ISNUMBER(N63),N63*6.7,0)+IF(ISNUMBER(N69),N69*6.6,0)+IF(ISNUMBER(N77),N77*10,0)+IF(ISNUMBER(N83),N83*10,0)+IF(ISNUMBER(N91),N91*6.7,0)+IF(ISNUMBER(N97),N97*6.7,0)+IF(ISNUMBER(N103),N103*6.6,0)+IF(ISNUMBER(N111),N111*20,0)+IF(ISNUMBER(N117),N117*20,0)+IF(ISNUMBER(N123),N123*20,0)+IF(ISNUMBER(N129),N129*20,0)+IF(ISNUMBER(N135),N135*20,0))/(IF(ISNUMBER(N5),5,0)+IF(ISNUMBER(N11),5,0)+IF(ISNUMBER(N17),5,0)+IF(ISNUMBER(N23),5,0)+IF(ISNUMBER(N31),5,0)+IF(ISNUMBER(N37),5,0)+IF(ISNUMBER(N43),5,0)+IF(ISNUMBER(N49),5,0)+IF(ISNUMBER(N57),6.7,0)+IF(ISNUMBER(N63),6.7,0)+IF(ISNUMBER(N69),6.6,0)+IF(ISNUMBER(N77),10,0)+IF(ISNUMBER(N83),10,0)+IF(ISNUMBER(N91),6.7,0)+IF(ISNUMBER(N97),6.7,0)+IF(ISNUMBER(N103),6.6,0)+IF(ISNUMBER(N111),20,0)+IF(ISNUMBER(N117),20,0)+IF(ISNUMBER(N123),20,0)+IF(ISNUMBER(N129),20,0)+IF(ISNUMBER(N135),20,0)))</f>
        <v/>
      </c>
      <c r="O142" s="41" t="str">
        <f>IF((IF(ISNUMBER(O5),5,0)+IF(ISNUMBER(O11),5,0)+IF(ISNUMBER(O17),5,0)+IF(ISNUMBER(O23),5,0)+IF(ISNUMBER(O31),5,0)+IF(ISNUMBER(O37),5,0)+IF(ISNUMBER(O43),5,0)+IF(ISNUMBER(O49),5,0)+IF(ISNUMBER(O57),6.7,0)+IF(ISNUMBER(O63),6.7,0)+IF(ISNUMBER(O69),6.6,0)+IF(ISNUMBER(O77),10,0)+IF(ISNUMBER(O83),10,0)+IF(ISNUMBER(O91),6.7,0)+IF(ISNUMBER(O97),6.7,0)+IF(ISNUMBER(O103),6.6,0)+IF(ISNUMBER(O111),20,0)+IF(ISNUMBER(O117),20,0)+IF(ISNUMBER(O123),20,0)+IF(ISNUMBER(O129),20,0)+IF(ISNUMBER(O135),20,0))=0,"",(IF(ISNUMBER(O5),O5*5,0)+IF(ISNUMBER(O11),O11*5,0)+IF(ISNUMBER(O17),O17*5,0)+IF(ISNUMBER(O23),O23*5,0)+IF(ISNUMBER(O31),O31*5,0)+IF(ISNUMBER(O37),O37*5,0)+IF(ISNUMBER(O43),O43*5,0)+IF(ISNUMBER(O49),O49*5,0)+IF(ISNUMBER(O57),O57*6.7,0)+IF(ISNUMBER(O63),O63*6.7,0)+IF(ISNUMBER(O69),O69*6.6,0)+IF(ISNUMBER(O77),O77*10,0)+IF(ISNUMBER(O83),O83*10,0)+IF(ISNUMBER(O91),O91*6.7,0)+IF(ISNUMBER(O97),O97*6.7,0)+IF(ISNUMBER(O103),O103*6.6,0)+IF(ISNUMBER(O111),O111*20,0)+IF(ISNUMBER(O117),O117*20,0)+IF(ISNUMBER(O123),O123*20,0)+IF(ISNUMBER(O129),O129*20,0)+IF(ISNUMBER(O135),O135*20,0))/(IF(ISNUMBER(O5),5,0)+IF(ISNUMBER(O11),5,0)+IF(ISNUMBER(O17),5,0)+IF(ISNUMBER(O23),5,0)+IF(ISNUMBER(O31),5,0)+IF(ISNUMBER(O37),5,0)+IF(ISNUMBER(O43),5,0)+IF(ISNUMBER(O49),5,0)+IF(ISNUMBER(O57),6.7,0)+IF(ISNUMBER(O63),6.7,0)+IF(ISNUMBER(O69),6.6,0)+IF(ISNUMBER(O77),10,0)+IF(ISNUMBER(O83),10,0)+IF(ISNUMBER(O91),6.7,0)+IF(ISNUMBER(O97),6.7,0)+IF(ISNUMBER(O103),6.6,0)+IF(ISNUMBER(O111),20,0)+IF(ISNUMBER(O117),20,0)+IF(ISNUMBER(O123),20,0)+IF(ISNUMBER(O129),20,0)+IF(ISNUMBER(O135),20,0)))</f>
        <v/>
      </c>
      <c r="P142" s="41" t="str">
        <f>IF((IF(ISNUMBER(P5),5,0)+IF(ISNUMBER(P11),5,0)+IF(ISNUMBER(P17),5,0)+IF(ISNUMBER(P23),5,0)+IF(ISNUMBER(P31),5,0)+IF(ISNUMBER(P37),5,0)+IF(ISNUMBER(P43),5,0)+IF(ISNUMBER(P49),5,0)+IF(ISNUMBER(P57),6.7,0)+IF(ISNUMBER(P63),6.7,0)+IF(ISNUMBER(P69),6.6,0)+IF(ISNUMBER(P77),10,0)+IF(ISNUMBER(P83),10,0)+IF(ISNUMBER(P91),6.7,0)+IF(ISNUMBER(P97),6.7,0)+IF(ISNUMBER(P103),6.6,0)+IF(ISNUMBER(P111),20,0)+IF(ISNUMBER(P117),20,0)+IF(ISNUMBER(P123),20,0)+IF(ISNUMBER(P129),20,0)+IF(ISNUMBER(P135),20,0))=0,"",(IF(ISNUMBER(P5),P5*5,0)+IF(ISNUMBER(P11),P11*5,0)+IF(ISNUMBER(P17),P17*5,0)+IF(ISNUMBER(P23),P23*5,0)+IF(ISNUMBER(P31),P31*5,0)+IF(ISNUMBER(P37),P37*5,0)+IF(ISNUMBER(P43),P43*5,0)+IF(ISNUMBER(P49),P49*5,0)+IF(ISNUMBER(P57),P57*6.7,0)+IF(ISNUMBER(P63),P63*6.7,0)+IF(ISNUMBER(P69),P69*6.6,0)+IF(ISNUMBER(P77),P77*10,0)+IF(ISNUMBER(P83),P83*10,0)+IF(ISNUMBER(P91),P91*6.7,0)+IF(ISNUMBER(P97),P97*6.7,0)+IF(ISNUMBER(P103),P103*6.6,0)+IF(ISNUMBER(P111),P111*20,0)+IF(ISNUMBER(P117),P117*20,0)+IF(ISNUMBER(P123),P123*20,0)+IF(ISNUMBER(P129),P129*20,0)+IF(ISNUMBER(P135),P135*20,0))/(IF(ISNUMBER(P5),5,0)+IF(ISNUMBER(P11),5,0)+IF(ISNUMBER(P17),5,0)+IF(ISNUMBER(P23),5,0)+IF(ISNUMBER(P31),5,0)+IF(ISNUMBER(P37),5,0)+IF(ISNUMBER(P43),5,0)+IF(ISNUMBER(P49),5,0)+IF(ISNUMBER(P57),6.7,0)+IF(ISNUMBER(P63),6.7,0)+IF(ISNUMBER(P69),6.6,0)+IF(ISNUMBER(P77),10,0)+IF(ISNUMBER(P83),10,0)+IF(ISNUMBER(P91),6.7,0)+IF(ISNUMBER(P97),6.7,0)+IF(ISNUMBER(P103),6.6,0)+IF(ISNUMBER(P111),20,0)+IF(ISNUMBER(P117),20,0)+IF(ISNUMBER(P123),20,0)+IF(ISNUMBER(P129),20,0)+IF(ISNUMBER(P135),20,0)))</f>
        <v/>
      </c>
      <c r="Q142" s="41" t="str">
        <f>IF((IF(ISNUMBER(Q5),5,0)+IF(ISNUMBER(Q11),5,0)+IF(ISNUMBER(Q17),5,0)+IF(ISNUMBER(Q23),5,0)+IF(ISNUMBER(Q31),5,0)+IF(ISNUMBER(Q37),5,0)+IF(ISNUMBER(Q43),5,0)+IF(ISNUMBER(Q49),5,0)+IF(ISNUMBER(Q57),6.7,0)+IF(ISNUMBER(Q63),6.7,0)+IF(ISNUMBER(Q69),6.6,0)+IF(ISNUMBER(Q77),10,0)+IF(ISNUMBER(Q83),10,0)+IF(ISNUMBER(Q91),6.7,0)+IF(ISNUMBER(Q97),6.7,0)+IF(ISNUMBER(Q103),6.6,0)+IF(ISNUMBER(Q111),20,0)+IF(ISNUMBER(Q117),20,0)+IF(ISNUMBER(Q123),20,0)+IF(ISNUMBER(Q129),20,0)+IF(ISNUMBER(Q135),20,0))=0,"",(IF(ISNUMBER(Q5),Q5*5,0)+IF(ISNUMBER(Q11),Q11*5,0)+IF(ISNUMBER(Q17),Q17*5,0)+IF(ISNUMBER(Q23),Q23*5,0)+IF(ISNUMBER(Q31),Q31*5,0)+IF(ISNUMBER(Q37),Q37*5,0)+IF(ISNUMBER(Q43),Q43*5,0)+IF(ISNUMBER(Q49),Q49*5,0)+IF(ISNUMBER(Q57),Q57*6.7,0)+IF(ISNUMBER(Q63),Q63*6.7,0)+IF(ISNUMBER(Q69),Q69*6.6,0)+IF(ISNUMBER(Q77),Q77*10,0)+IF(ISNUMBER(Q83),Q83*10,0)+IF(ISNUMBER(Q91),Q91*6.7,0)+IF(ISNUMBER(Q97),Q97*6.7,0)+IF(ISNUMBER(Q103),Q103*6.6,0)+IF(ISNUMBER(Q111),Q111*20,0)+IF(ISNUMBER(Q117),Q117*20,0)+IF(ISNUMBER(Q123),Q123*20,0)+IF(ISNUMBER(Q129),Q129*20,0)+IF(ISNUMBER(Q135),Q135*20,0))/(IF(ISNUMBER(Q5),5,0)+IF(ISNUMBER(Q11),5,0)+IF(ISNUMBER(Q17),5,0)+IF(ISNUMBER(Q23),5,0)+IF(ISNUMBER(Q31),5,0)+IF(ISNUMBER(Q37),5,0)+IF(ISNUMBER(Q43),5,0)+IF(ISNUMBER(Q49),5,0)+IF(ISNUMBER(Q57),6.7,0)+IF(ISNUMBER(Q63),6.7,0)+IF(ISNUMBER(Q69),6.6,0)+IF(ISNUMBER(Q77),10,0)+IF(ISNUMBER(Q83),10,0)+IF(ISNUMBER(Q91),6.7,0)+IF(ISNUMBER(Q97),6.7,0)+IF(ISNUMBER(Q103),6.6,0)+IF(ISNUMBER(Q111),20,0)+IF(ISNUMBER(Q117),20,0)+IF(ISNUMBER(Q123),20,0)+IF(ISNUMBER(Q129),20,0)+IF(ISNUMBER(Q135),20,0)))</f>
        <v/>
      </c>
      <c r="R142" s="41" t="str">
        <f>IF((IF(ISNUMBER(R5),5,0)+IF(ISNUMBER(R11),5,0)+IF(ISNUMBER(R17),5,0)+IF(ISNUMBER(R23),5,0)+IF(ISNUMBER(R31),5,0)+IF(ISNUMBER(R37),5,0)+IF(ISNUMBER(R43),5,0)+IF(ISNUMBER(R49),5,0)+IF(ISNUMBER(R57),6.7,0)+IF(ISNUMBER(R63),6.7,0)+IF(ISNUMBER(R69),6.6,0)+IF(ISNUMBER(R77),10,0)+IF(ISNUMBER(R83),10,0)+IF(ISNUMBER(R91),6.7,0)+IF(ISNUMBER(R97),6.7,0)+IF(ISNUMBER(R103),6.6,0)+IF(ISNUMBER(R111),20,0)+IF(ISNUMBER(R117),20,0)+IF(ISNUMBER(R123),20,0)+IF(ISNUMBER(R129),20,0)+IF(ISNUMBER(R135),20,0))=0,"",(IF(ISNUMBER(R5),R5*5,0)+IF(ISNUMBER(R11),R11*5,0)+IF(ISNUMBER(R17),R17*5,0)+IF(ISNUMBER(R23),R23*5,0)+IF(ISNUMBER(R31),R31*5,0)+IF(ISNUMBER(R37),R37*5,0)+IF(ISNUMBER(R43),R43*5,0)+IF(ISNUMBER(R49),R49*5,0)+IF(ISNUMBER(R57),R57*6.7,0)+IF(ISNUMBER(R63),R63*6.7,0)+IF(ISNUMBER(R69),R69*6.6,0)+IF(ISNUMBER(R77),R77*10,0)+IF(ISNUMBER(R83),R83*10,0)+IF(ISNUMBER(R91),R91*6.7,0)+IF(ISNUMBER(R97),R97*6.7,0)+IF(ISNUMBER(R103),R103*6.6,0)+IF(ISNUMBER(R111),R111*20,0)+IF(ISNUMBER(R117),R117*20,0)+IF(ISNUMBER(R123),R123*20,0)+IF(ISNUMBER(R129),R129*20,0)+IF(ISNUMBER(R135),R135*20,0))/(IF(ISNUMBER(R5),5,0)+IF(ISNUMBER(R11),5,0)+IF(ISNUMBER(R17),5,0)+IF(ISNUMBER(R23),5,0)+IF(ISNUMBER(R31),5,0)+IF(ISNUMBER(R37),5,0)+IF(ISNUMBER(R43),5,0)+IF(ISNUMBER(R49),5,0)+IF(ISNUMBER(R57),6.7,0)+IF(ISNUMBER(R63),6.7,0)+IF(ISNUMBER(R69),6.6,0)+IF(ISNUMBER(R77),10,0)+IF(ISNUMBER(R83),10,0)+IF(ISNUMBER(R91),6.7,0)+IF(ISNUMBER(R97),6.7,0)+IF(ISNUMBER(R103),6.6,0)+IF(ISNUMBER(R111),20,0)+IF(ISNUMBER(R117),20,0)+IF(ISNUMBER(R123),20,0)+IF(ISNUMBER(R129),20,0)+IF(ISNUMBER(R135),20,0)))</f>
        <v/>
      </c>
      <c r="S142" s="41" t="str">
        <f>IF((IF(ISNUMBER(S5),5,0)+IF(ISNUMBER(S11),5,0)+IF(ISNUMBER(S17),5,0)+IF(ISNUMBER(S23),5,0)+IF(ISNUMBER(S31),5,0)+IF(ISNUMBER(S37),5,0)+IF(ISNUMBER(S43),5,0)+IF(ISNUMBER(S49),5,0)+IF(ISNUMBER(S57),6.7,0)+IF(ISNUMBER(S63),6.7,0)+IF(ISNUMBER(S69),6.6,0)+IF(ISNUMBER(S77),10,0)+IF(ISNUMBER(S83),10,0)+IF(ISNUMBER(S91),6.7,0)+IF(ISNUMBER(S97),6.7,0)+IF(ISNUMBER(S103),6.6,0)+IF(ISNUMBER(S111),20,0)+IF(ISNUMBER(S117),20,0)+IF(ISNUMBER(S123),20,0)+IF(ISNUMBER(S129),20,0)+IF(ISNUMBER(S135),20,0))=0,"",(IF(ISNUMBER(S5),S5*5,0)+IF(ISNUMBER(S11),S11*5,0)+IF(ISNUMBER(S17),S17*5,0)+IF(ISNUMBER(S23),S23*5,0)+IF(ISNUMBER(S31),S31*5,0)+IF(ISNUMBER(S37),S37*5,0)+IF(ISNUMBER(S43),S43*5,0)+IF(ISNUMBER(S49),S49*5,0)+IF(ISNUMBER(S57),S57*6.7,0)+IF(ISNUMBER(S63),S63*6.7,0)+IF(ISNUMBER(S69),S69*6.6,0)+IF(ISNUMBER(S77),S77*10,0)+IF(ISNUMBER(S83),S83*10,0)+IF(ISNUMBER(S91),S91*6.7,0)+IF(ISNUMBER(S97),S97*6.7,0)+IF(ISNUMBER(S103),S103*6.6,0)+IF(ISNUMBER(S111),S111*20,0)+IF(ISNUMBER(S117),S117*20,0)+IF(ISNUMBER(S123),S123*20,0)+IF(ISNUMBER(S129),S129*20,0)+IF(ISNUMBER(S135),S135*20,0))/(IF(ISNUMBER(S5),5,0)+IF(ISNUMBER(S11),5,0)+IF(ISNUMBER(S17),5,0)+IF(ISNUMBER(S23),5,0)+IF(ISNUMBER(S31),5,0)+IF(ISNUMBER(S37),5,0)+IF(ISNUMBER(S43),5,0)+IF(ISNUMBER(S49),5,0)+IF(ISNUMBER(S57),6.7,0)+IF(ISNUMBER(S63),6.7,0)+IF(ISNUMBER(S69),6.6,0)+IF(ISNUMBER(S77),10,0)+IF(ISNUMBER(S83),10,0)+IF(ISNUMBER(S91),6.7,0)+IF(ISNUMBER(S97),6.7,0)+IF(ISNUMBER(S103),6.6,0)+IF(ISNUMBER(S111),20,0)+IF(ISNUMBER(S117),20,0)+IF(ISNUMBER(S123),20,0)+IF(ISNUMBER(S129),20,0)+IF(ISNUMBER(S135),20,0)))</f>
        <v/>
      </c>
      <c r="T142" s="41" t="str">
        <f>IF((IF(ISNUMBER(T5),5,0)+IF(ISNUMBER(T11),5,0)+IF(ISNUMBER(T17),5,0)+IF(ISNUMBER(T23),5,0)+IF(ISNUMBER(T31),5,0)+IF(ISNUMBER(T37),5,0)+IF(ISNUMBER(T43),5,0)+IF(ISNUMBER(T49),5,0)+IF(ISNUMBER(T57),6.7,0)+IF(ISNUMBER(T63),6.7,0)+IF(ISNUMBER(T69),6.6,0)+IF(ISNUMBER(T77),10,0)+IF(ISNUMBER(T83),10,0)+IF(ISNUMBER(T91),6.7,0)+IF(ISNUMBER(T97),6.7,0)+IF(ISNUMBER(T103),6.6,0)+IF(ISNUMBER(T111),20,0)+IF(ISNUMBER(T117),20,0)+IF(ISNUMBER(T123),20,0)+IF(ISNUMBER(T129),20,0)+IF(ISNUMBER(T135),20,0))=0,"",(IF(ISNUMBER(T5),T5*5,0)+IF(ISNUMBER(T11),T11*5,0)+IF(ISNUMBER(T17),T17*5,0)+IF(ISNUMBER(T23),T23*5,0)+IF(ISNUMBER(T31),T31*5,0)+IF(ISNUMBER(T37),T37*5,0)+IF(ISNUMBER(T43),T43*5,0)+IF(ISNUMBER(T49),T49*5,0)+IF(ISNUMBER(T57),T57*6.7,0)+IF(ISNUMBER(T63),T63*6.7,0)+IF(ISNUMBER(T69),T69*6.6,0)+IF(ISNUMBER(T77),T77*10,0)+IF(ISNUMBER(T83),T83*10,0)+IF(ISNUMBER(T91),T91*6.7,0)+IF(ISNUMBER(T97),T97*6.7,0)+IF(ISNUMBER(T103),T103*6.6,0)+IF(ISNUMBER(T111),T111*20,0)+IF(ISNUMBER(T117),T117*20,0)+IF(ISNUMBER(T123),T123*20,0)+IF(ISNUMBER(T129),T129*20,0)+IF(ISNUMBER(T135),T135*20,0))/(IF(ISNUMBER(T5),5,0)+IF(ISNUMBER(T11),5,0)+IF(ISNUMBER(T17),5,0)+IF(ISNUMBER(T23),5,0)+IF(ISNUMBER(T31),5,0)+IF(ISNUMBER(T37),5,0)+IF(ISNUMBER(T43),5,0)+IF(ISNUMBER(T49),5,0)+IF(ISNUMBER(T57),6.7,0)+IF(ISNUMBER(T63),6.7,0)+IF(ISNUMBER(T69),6.6,0)+IF(ISNUMBER(T77),10,0)+IF(ISNUMBER(T83),10,0)+IF(ISNUMBER(T91),6.7,0)+IF(ISNUMBER(T97),6.7,0)+IF(ISNUMBER(T103),6.6,0)+IF(ISNUMBER(T111),20,0)+IF(ISNUMBER(T117),20,0)+IF(ISNUMBER(T123),20,0)+IF(ISNUMBER(T129),20,0)+IF(ISNUMBER(T135),20,0)))</f>
        <v/>
      </c>
      <c r="U142" s="41" t="str">
        <f>IF((IF(ISNUMBER(U5),5,0)+IF(ISNUMBER(U11),5,0)+IF(ISNUMBER(U17),5,0)+IF(ISNUMBER(U23),5,0)+IF(ISNUMBER(U31),5,0)+IF(ISNUMBER(U37),5,0)+IF(ISNUMBER(U43),5,0)+IF(ISNUMBER(U49),5,0)+IF(ISNUMBER(U57),6.7,0)+IF(ISNUMBER(U63),6.7,0)+IF(ISNUMBER(U69),6.6,0)+IF(ISNUMBER(U77),10,0)+IF(ISNUMBER(U83),10,0)+IF(ISNUMBER(U91),6.7,0)+IF(ISNUMBER(U97),6.7,0)+IF(ISNUMBER(U103),6.6,0)+IF(ISNUMBER(U111),20,0)+IF(ISNUMBER(U117),20,0)+IF(ISNUMBER(U123),20,0)+IF(ISNUMBER(U129),20,0)+IF(ISNUMBER(U135),20,0))=0,"",(IF(ISNUMBER(U5),U5*5,0)+IF(ISNUMBER(U11),U11*5,0)+IF(ISNUMBER(U17),U17*5,0)+IF(ISNUMBER(U23),U23*5,0)+IF(ISNUMBER(U31),U31*5,0)+IF(ISNUMBER(U37),U37*5,0)+IF(ISNUMBER(U43),U43*5,0)+IF(ISNUMBER(U49),U49*5,0)+IF(ISNUMBER(U57),U57*6.7,0)+IF(ISNUMBER(U63),U63*6.7,0)+IF(ISNUMBER(U69),U69*6.6,0)+IF(ISNUMBER(U77),U77*10,0)+IF(ISNUMBER(U83),U83*10,0)+IF(ISNUMBER(U91),U91*6.7,0)+IF(ISNUMBER(U97),U97*6.7,0)+IF(ISNUMBER(U103),U103*6.6,0)+IF(ISNUMBER(U111),U111*20,0)+IF(ISNUMBER(U117),U117*20,0)+IF(ISNUMBER(U123),U123*20,0)+IF(ISNUMBER(U129),U129*20,0)+IF(ISNUMBER(U135),U135*20,0))/(IF(ISNUMBER(U5),5,0)+IF(ISNUMBER(U11),5,0)+IF(ISNUMBER(U17),5,0)+IF(ISNUMBER(U23),5,0)+IF(ISNUMBER(U31),5,0)+IF(ISNUMBER(U37),5,0)+IF(ISNUMBER(U43),5,0)+IF(ISNUMBER(U49),5,0)+IF(ISNUMBER(U57),6.7,0)+IF(ISNUMBER(U63),6.7,0)+IF(ISNUMBER(U69),6.6,0)+IF(ISNUMBER(U77),10,0)+IF(ISNUMBER(U83),10,0)+IF(ISNUMBER(U91),6.7,0)+IF(ISNUMBER(U97),6.7,0)+IF(ISNUMBER(U103),6.6,0)+IF(ISNUMBER(U111),20,0)+IF(ISNUMBER(U117),20,0)+IF(ISNUMBER(U123),20,0)+IF(ISNUMBER(U129),20,0)+IF(ISNUMBER(U135),20,0)))</f>
        <v/>
      </c>
      <c r="V142" s="41" t="str">
        <f>IF((IF(ISNUMBER(V5),5,0)+IF(ISNUMBER(V11),5,0)+IF(ISNUMBER(V17),5,0)+IF(ISNUMBER(V23),5,0)+IF(ISNUMBER(V31),5,0)+IF(ISNUMBER(V37),5,0)+IF(ISNUMBER(V43),5,0)+IF(ISNUMBER(V49),5,0)+IF(ISNUMBER(V57),6.7,0)+IF(ISNUMBER(V63),6.7,0)+IF(ISNUMBER(V69),6.6,0)+IF(ISNUMBER(V77),10,0)+IF(ISNUMBER(V83),10,0)+IF(ISNUMBER(V91),6.7,0)+IF(ISNUMBER(V97),6.7,0)+IF(ISNUMBER(V103),6.6,0)+IF(ISNUMBER(V111),20,0)+IF(ISNUMBER(V117),20,0)+IF(ISNUMBER(V123),20,0)+IF(ISNUMBER(V129),20,0)+IF(ISNUMBER(V135),20,0))=0,"",(IF(ISNUMBER(V5),V5*5,0)+IF(ISNUMBER(V11),V11*5,0)+IF(ISNUMBER(V17),V17*5,0)+IF(ISNUMBER(V23),V23*5,0)+IF(ISNUMBER(V31),V31*5,0)+IF(ISNUMBER(V37),V37*5,0)+IF(ISNUMBER(V43),V43*5,0)+IF(ISNUMBER(V49),V49*5,0)+IF(ISNUMBER(V57),V57*6.7,0)+IF(ISNUMBER(V63),V63*6.7,0)+IF(ISNUMBER(V69),V69*6.6,0)+IF(ISNUMBER(V77),V77*10,0)+IF(ISNUMBER(V83),V83*10,0)+IF(ISNUMBER(V91),V91*6.7,0)+IF(ISNUMBER(V97),V97*6.7,0)+IF(ISNUMBER(V103),V103*6.6,0)+IF(ISNUMBER(V111),V111*20,0)+IF(ISNUMBER(V117),V117*20,0)+IF(ISNUMBER(V123),V123*20,0)+IF(ISNUMBER(V129),V129*20,0)+IF(ISNUMBER(V135),V135*20,0))/(IF(ISNUMBER(V5),5,0)+IF(ISNUMBER(V11),5,0)+IF(ISNUMBER(V17),5,0)+IF(ISNUMBER(V23),5,0)+IF(ISNUMBER(V31),5,0)+IF(ISNUMBER(V37),5,0)+IF(ISNUMBER(V43),5,0)+IF(ISNUMBER(V49),5,0)+IF(ISNUMBER(V57),6.7,0)+IF(ISNUMBER(V63),6.7,0)+IF(ISNUMBER(V69),6.6,0)+IF(ISNUMBER(V77),10,0)+IF(ISNUMBER(V83),10,0)+IF(ISNUMBER(V91),6.7,0)+IF(ISNUMBER(V97),6.7,0)+IF(ISNUMBER(V103),6.6,0)+IF(ISNUMBER(V111),20,0)+IF(ISNUMBER(V117),20,0)+IF(ISNUMBER(V123),20,0)+IF(ISNUMBER(V129),20,0)+IF(ISNUMBER(V135),20,0)))</f>
        <v/>
      </c>
      <c r="W142" s="41" t="str">
        <f>IF((IF(ISNUMBER(W5),5,0)+IF(ISNUMBER(W11),5,0)+IF(ISNUMBER(W17),5,0)+IF(ISNUMBER(W23),5,0)+IF(ISNUMBER(W31),5,0)+IF(ISNUMBER(W37),5,0)+IF(ISNUMBER(W43),5,0)+IF(ISNUMBER(W49),5,0)+IF(ISNUMBER(W57),6.7,0)+IF(ISNUMBER(W63),6.7,0)+IF(ISNUMBER(W69),6.6,0)+IF(ISNUMBER(W77),10,0)+IF(ISNUMBER(W83),10,0)+IF(ISNUMBER(W91),6.7,0)+IF(ISNUMBER(W97),6.7,0)+IF(ISNUMBER(W103),6.6,0)+IF(ISNUMBER(W111),20,0)+IF(ISNUMBER(W117),20,0)+IF(ISNUMBER(W123),20,0)+IF(ISNUMBER(W129),20,0)+IF(ISNUMBER(W135),20,0))=0,"",(IF(ISNUMBER(W5),W5*5,0)+IF(ISNUMBER(W11),W11*5,0)+IF(ISNUMBER(W17),W17*5,0)+IF(ISNUMBER(W23),W23*5,0)+IF(ISNUMBER(W31),W31*5,0)+IF(ISNUMBER(W37),W37*5,0)+IF(ISNUMBER(W43),W43*5,0)+IF(ISNUMBER(W49),W49*5,0)+IF(ISNUMBER(W57),W57*6.7,0)+IF(ISNUMBER(W63),W63*6.7,0)+IF(ISNUMBER(W69),W69*6.6,0)+IF(ISNUMBER(W77),W77*10,0)+IF(ISNUMBER(W83),W83*10,0)+IF(ISNUMBER(W91),W91*6.7,0)+IF(ISNUMBER(W97),W97*6.7,0)+IF(ISNUMBER(W103),W103*6.6,0)+IF(ISNUMBER(W111),W111*20,0)+IF(ISNUMBER(W117),W117*20,0)+IF(ISNUMBER(W123),W123*20,0)+IF(ISNUMBER(W129),W129*20,0)+IF(ISNUMBER(W135),W135*20,0))/(IF(ISNUMBER(W5),5,0)+IF(ISNUMBER(W11),5,0)+IF(ISNUMBER(W17),5,0)+IF(ISNUMBER(W23),5,0)+IF(ISNUMBER(W31),5,0)+IF(ISNUMBER(W37),5,0)+IF(ISNUMBER(W43),5,0)+IF(ISNUMBER(W49),5,0)+IF(ISNUMBER(W57),6.7,0)+IF(ISNUMBER(W63),6.7,0)+IF(ISNUMBER(W69),6.6,0)+IF(ISNUMBER(W77),10,0)+IF(ISNUMBER(W83),10,0)+IF(ISNUMBER(W91),6.7,0)+IF(ISNUMBER(W97),6.7,0)+IF(ISNUMBER(W103),6.6,0)+IF(ISNUMBER(W111),20,0)+IF(ISNUMBER(W117),20,0)+IF(ISNUMBER(W123),20,0)+IF(ISNUMBER(W129),20,0)+IF(ISNUMBER(W135),20,0)))</f>
        <v/>
      </c>
      <c r="X142" s="41" t="str">
        <f>IF((IF(ISNUMBER(X5),5,0)+IF(ISNUMBER(X11),5,0)+IF(ISNUMBER(X17),5,0)+IF(ISNUMBER(X23),5,0)+IF(ISNUMBER(X31),5,0)+IF(ISNUMBER(X37),5,0)+IF(ISNUMBER(X43),5,0)+IF(ISNUMBER(X49),5,0)+IF(ISNUMBER(X57),6.7,0)+IF(ISNUMBER(X63),6.7,0)+IF(ISNUMBER(X69),6.6,0)+IF(ISNUMBER(X77),10,0)+IF(ISNUMBER(X83),10,0)+IF(ISNUMBER(X91),6.7,0)+IF(ISNUMBER(X97),6.7,0)+IF(ISNUMBER(X103),6.6,0)+IF(ISNUMBER(X111),20,0)+IF(ISNUMBER(X117),20,0)+IF(ISNUMBER(X123),20,0)+IF(ISNUMBER(X129),20,0)+IF(ISNUMBER(X135),20,0))=0,"",(IF(ISNUMBER(X5),X5*5,0)+IF(ISNUMBER(X11),X11*5,0)+IF(ISNUMBER(X17),X17*5,0)+IF(ISNUMBER(X23),X23*5,0)+IF(ISNUMBER(X31),X31*5,0)+IF(ISNUMBER(X37),X37*5,0)+IF(ISNUMBER(X43),X43*5,0)+IF(ISNUMBER(X49),X49*5,0)+IF(ISNUMBER(X57),X57*6.7,0)+IF(ISNUMBER(X63),X63*6.7,0)+IF(ISNUMBER(X69),X69*6.6,0)+IF(ISNUMBER(X77),X77*10,0)+IF(ISNUMBER(X83),X83*10,0)+IF(ISNUMBER(X91),X91*6.7,0)+IF(ISNUMBER(X97),X97*6.7,0)+IF(ISNUMBER(X103),X103*6.6,0)+IF(ISNUMBER(X111),X111*20,0)+IF(ISNUMBER(X117),X117*20,0)+IF(ISNUMBER(X123),X123*20,0)+IF(ISNUMBER(X129),X129*20,0)+IF(ISNUMBER(X135),X135*20,0))/(IF(ISNUMBER(X5),5,0)+IF(ISNUMBER(X11),5,0)+IF(ISNUMBER(X17),5,0)+IF(ISNUMBER(X23),5,0)+IF(ISNUMBER(X31),5,0)+IF(ISNUMBER(X37),5,0)+IF(ISNUMBER(X43),5,0)+IF(ISNUMBER(X49),5,0)+IF(ISNUMBER(X57),6.7,0)+IF(ISNUMBER(X63),6.7,0)+IF(ISNUMBER(X69),6.6,0)+IF(ISNUMBER(X77),10,0)+IF(ISNUMBER(X83),10,0)+IF(ISNUMBER(X91),6.7,0)+IF(ISNUMBER(X97),6.7,0)+IF(ISNUMBER(X103),6.6,0)+IF(ISNUMBER(X111),20,0)+IF(ISNUMBER(X117),20,0)+IF(ISNUMBER(X123),20,0)+IF(ISNUMBER(X129),20,0)+IF(ISNUMBER(X135),20,0)))</f>
        <v/>
      </c>
      <c r="Y142" s="41" t="str">
        <f>IF((IF(ISNUMBER(Y5),5,0)+IF(ISNUMBER(Y11),5,0)+IF(ISNUMBER(Y17),5,0)+IF(ISNUMBER(Y23),5,0)+IF(ISNUMBER(Y31),5,0)+IF(ISNUMBER(Y37),5,0)+IF(ISNUMBER(Y43),5,0)+IF(ISNUMBER(Y49),5,0)+IF(ISNUMBER(Y57),6.7,0)+IF(ISNUMBER(Y63),6.7,0)+IF(ISNUMBER(Y69),6.6,0)+IF(ISNUMBER(Y77),10,0)+IF(ISNUMBER(Y83),10,0)+IF(ISNUMBER(Y91),6.7,0)+IF(ISNUMBER(Y97),6.7,0)+IF(ISNUMBER(Y103),6.6,0)+IF(ISNUMBER(Y111),20,0)+IF(ISNUMBER(Y117),20,0)+IF(ISNUMBER(Y123),20,0)+IF(ISNUMBER(Y129),20,0)+IF(ISNUMBER(Y135),20,0))=0,"",(IF(ISNUMBER(Y5),Y5*5,0)+IF(ISNUMBER(Y11),Y11*5,0)+IF(ISNUMBER(Y17),Y17*5,0)+IF(ISNUMBER(Y23),Y23*5,0)+IF(ISNUMBER(Y31),Y31*5,0)+IF(ISNUMBER(Y37),Y37*5,0)+IF(ISNUMBER(Y43),Y43*5,0)+IF(ISNUMBER(Y49),Y49*5,0)+IF(ISNUMBER(Y57),Y57*6.7,0)+IF(ISNUMBER(Y63),Y63*6.7,0)+IF(ISNUMBER(Y69),Y69*6.6,0)+IF(ISNUMBER(Y77),Y77*10,0)+IF(ISNUMBER(Y83),Y83*10,0)+IF(ISNUMBER(Y91),Y91*6.7,0)+IF(ISNUMBER(Y97),Y97*6.7,0)+IF(ISNUMBER(Y103),Y103*6.6,0)+IF(ISNUMBER(Y111),Y111*20,0)+IF(ISNUMBER(Y117),Y117*20,0)+IF(ISNUMBER(Y123),Y123*20,0)+IF(ISNUMBER(Y129),Y129*20,0)+IF(ISNUMBER(Y135),Y135*20,0))/(IF(ISNUMBER(Y5),5,0)+IF(ISNUMBER(Y11),5,0)+IF(ISNUMBER(Y17),5,0)+IF(ISNUMBER(Y23),5,0)+IF(ISNUMBER(Y31),5,0)+IF(ISNUMBER(Y37),5,0)+IF(ISNUMBER(Y43),5,0)+IF(ISNUMBER(Y49),5,0)+IF(ISNUMBER(Y57),6.7,0)+IF(ISNUMBER(Y63),6.7,0)+IF(ISNUMBER(Y69),6.6,0)+IF(ISNUMBER(Y77),10,0)+IF(ISNUMBER(Y83),10,0)+IF(ISNUMBER(Y91),6.7,0)+IF(ISNUMBER(Y97),6.7,0)+IF(ISNUMBER(Y103),6.6,0)+IF(ISNUMBER(Y111),20,0)+IF(ISNUMBER(Y117),20,0)+IF(ISNUMBER(Y123),20,0)+IF(ISNUMBER(Y129),20,0)+IF(ISNUMBER(Y135),20,0)))</f>
        <v/>
      </c>
      <c r="Z142" s="41" t="str">
        <f>_xlfn.IFERROR(AVERAGE(E142:Y142),"")</f>
        <v/>
      </c>
    </row>
  </sheetData>
  <mergeCells count="9">
    <mergeCell ref="A1:Z1"/>
    <mergeCell ref="A56:Z56"/>
    <mergeCell ref="A110:Z110"/>
    <mergeCell ref="A76:Z76"/>
    <mergeCell ref="A4:Z4"/>
    <mergeCell ref="A30:Z30"/>
    <mergeCell ref="A2:Z2"/>
    <mergeCell ref="A90:Z90"/>
    <mergeCell ref="A142:D142"/>
  </mergeCells>
  <conditionalFormatting sqref="Z4:Z142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:Y142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dataValidations count="105">
    <dataValidation allowBlank="1" type="list" errorStyle="stop" sqref="E32:Y32">
      <formula1>"Ya,Tidak"</formula1>
    </dataValidation>
    <dataValidation allowBlank="1" type="list" errorStyle="stop" sqref="E41:Y41">
      <formula1>"Ya,Tidak"</formula1>
    </dataValidation>
    <dataValidation allowBlank="1" type="list" errorStyle="stop" sqref="E35:Y35">
      <formula1>"Ya,Tidak"</formula1>
    </dataValidation>
    <dataValidation allowBlank="1" type="list" errorStyle="stop" sqref="E38:Y38">
      <formula1>"Ya,Tidak"</formula1>
    </dataValidation>
    <dataValidation allowBlank="1" type="list" errorStyle="stop" sqref="E72:Y72">
      <formula1>"Ya,Tidak"</formula1>
    </dataValidation>
    <dataValidation allowBlank="1" type="list" errorStyle="stop" sqref="E87:Y87">
      <formula1>"Ya,Tidak"</formula1>
    </dataValidation>
    <dataValidation allowBlank="1" type="list" errorStyle="stop" sqref="E116:Y116">
      <formula1>"Ya,Tidak"</formula1>
    </dataValidation>
    <dataValidation allowBlank="1" type="list" errorStyle="stop" sqref="E137:Y137">
      <formula1>"Ya,Tidak"</formula1>
    </dataValidation>
    <dataValidation allowBlank="1" type="list" errorStyle="stop" sqref="E130:Y130">
      <formula1>"Ya,Tidak"</formula1>
    </dataValidation>
    <dataValidation allowBlank="1" type="list" errorStyle="stop" sqref="E139:Y139">
      <formula1>"Ya,Tidak"</formula1>
    </dataValidation>
    <dataValidation allowBlank="1" type="list" errorStyle="stop" sqref="E133:Y133">
      <formula1>"Ya,Tidak"</formula1>
    </dataValidation>
    <dataValidation allowBlank="1" type="list" errorStyle="stop" sqref="E136:Y136">
      <formula1>"Ya,Tidak"</formula1>
    </dataValidation>
    <dataValidation allowBlank="1" type="list" errorStyle="stop" sqref="E81:Y81">
      <formula1>"Ya,Tidak"</formula1>
    </dataValidation>
    <dataValidation allowBlank="1" type="list" errorStyle="stop" sqref="E96:Y96">
      <formula1>"Ya,Tidak"</formula1>
    </dataValidation>
    <dataValidation allowBlank="1" type="list" errorStyle="stop" sqref="E93:Y93">
      <formula1>"Ya,Tidak"</formula1>
    </dataValidation>
    <dataValidation allowBlank="1" type="list" errorStyle="stop" sqref="E86:Y86">
      <formula1>"Ya,Tidak"</formula1>
    </dataValidation>
    <dataValidation allowBlank="1" type="list" errorStyle="stop" sqref="E84:Y84">
      <formula1>"Ya,Tidak"</formula1>
    </dataValidation>
    <dataValidation allowBlank="1" type="list" errorStyle="stop" sqref="E88:Y88">
      <formula1>"Ya,Tidak"</formula1>
    </dataValidation>
    <dataValidation allowBlank="1" type="list" errorStyle="stop" sqref="E95:Y95">
      <formula1>"Ya,Tidak"</formula1>
    </dataValidation>
    <dataValidation allowBlank="1" type="list" errorStyle="stop" sqref="E100:Y100">
      <formula1>"Ya,Tidak"</formula1>
    </dataValidation>
    <dataValidation allowBlank="1" type="list" errorStyle="stop" sqref="E119:Y119">
      <formula1>"Ya,Tidak"</formula1>
    </dataValidation>
    <dataValidation allowBlank="1" type="list" errorStyle="stop" sqref="E98:Y98">
      <formula1>"Ya,Tidak"</formula1>
    </dataValidation>
    <dataValidation allowBlank="1" type="list" errorStyle="stop" sqref="E107:Y107">
      <formula1>"Ya,Tidak"</formula1>
    </dataValidation>
    <dataValidation allowBlank="1" type="list" errorStyle="stop" sqref="E101:Y101">
      <formula1>"Ya,Tidak"</formula1>
    </dataValidation>
    <dataValidation allowBlank="1" type="list" errorStyle="stop" sqref="E104:Y104">
      <formula1>"Ya,Tidak"</formula1>
    </dataValidation>
    <dataValidation allowBlank="1" type="list" errorStyle="stop" sqref="E106:Y106">
      <formula1>"Ya,Tidak"</formula1>
    </dataValidation>
    <dataValidation allowBlank="1" type="list" errorStyle="stop" sqref="E121:Y121">
      <formula1>"Ya,Tidak"</formula1>
    </dataValidation>
    <dataValidation allowBlank="1" type="list" errorStyle="stop" sqref="E108:Y108">
      <formula1>"Ya,Tidak"</formula1>
    </dataValidation>
    <dataValidation allowBlank="1" type="list" errorStyle="stop" sqref="E124:Y124">
      <formula1>"Ya,Tidak"</formula1>
    </dataValidation>
    <dataValidation allowBlank="1" type="list" errorStyle="stop" sqref="E115:Y115">
      <formula1>"Ya,Tidak"</formula1>
    </dataValidation>
    <dataValidation allowBlank="1" type="list" errorStyle="stop" sqref="E128:Y128">
      <formula1>"Ya,Tidak"</formula1>
    </dataValidation>
    <dataValidation allowBlank="1" type="list" errorStyle="stop" sqref="E125:Y125">
      <formula1>"Ya,Tidak"</formula1>
    </dataValidation>
    <dataValidation allowBlank="1" type="list" errorStyle="stop" sqref="E120:Y120">
      <formula1>"Ya,Tidak"</formula1>
    </dataValidation>
    <dataValidation allowBlank="1" type="list" errorStyle="stop" sqref="E118:Y118">
      <formula1>"Ya,Tidak"</formula1>
    </dataValidation>
    <dataValidation allowBlank="1" type="list" errorStyle="stop" sqref="E122:Y122">
      <formula1>"Ya,Tidak"</formula1>
    </dataValidation>
    <dataValidation allowBlank="1" type="list" errorStyle="stop" sqref="E127:Y127">
      <formula1>"Ya,Tidak"</formula1>
    </dataValidation>
    <dataValidation allowBlank="1" type="list" errorStyle="stop" sqref="E140:Y140">
      <formula1>"Ya,Tidak"</formula1>
    </dataValidation>
    <dataValidation allowBlank="1" type="list" errorStyle="stop" sqref="E131:Y131">
      <formula1>"Ya,Tidak"</formula1>
    </dataValidation>
    <dataValidation allowBlank="1" type="list" errorStyle="stop" sqref="E132:Y132">
      <formula1>"Ya,Tidak"</formula1>
    </dataValidation>
    <dataValidation allowBlank="1" type="list" errorStyle="stop" sqref="E134:Y134">
      <formula1>"Ya,Tidak"</formula1>
    </dataValidation>
    <dataValidation allowBlank="1" type="list" errorStyle="stop" sqref="E138:Y138">
      <formula1>"Ya,Tidak"</formula1>
    </dataValidation>
    <dataValidation allowBlank="1" type="list" errorStyle="stop" sqref="E6:Y6">
      <formula1>"Ya,Tidak"</formula1>
    </dataValidation>
    <dataValidation allowBlank="1" type="list" errorStyle="stop" sqref="E14:Y14">
      <formula1>"Ya,Tidak"</formula1>
    </dataValidation>
    <dataValidation allowBlank="1" type="list" errorStyle="stop" sqref="E12:Y12">
      <formula1>"Ya,Tidak"</formula1>
    </dataValidation>
    <dataValidation allowBlank="1" type="list" errorStyle="stop" sqref="E9:Y9">
      <formula1>"Ya,Tidak"</formula1>
    </dataValidation>
    <dataValidation allowBlank="1" type="list" errorStyle="stop" sqref="E34:Y34">
      <formula1>"Ya,Tidak"</formula1>
    </dataValidation>
    <dataValidation allowBlank="1" type="list" errorStyle="stop" sqref="E51:Y51">
      <formula1>"Ya,Tidak"</formula1>
    </dataValidation>
    <dataValidation allowBlank="1" type="list" errorStyle="stop" sqref="E10:Y10">
      <formula1>"Ya,Tidak"</formula1>
    </dataValidation>
    <dataValidation allowBlank="1" type="list" errorStyle="stop" sqref="E26:Y26">
      <formula1>"Ya,Tidak"</formula1>
    </dataValidation>
    <dataValidation allowBlank="1" type="list" errorStyle="stop" sqref="E18:Y18">
      <formula1>"Ya,Tidak"</formula1>
    </dataValidation>
    <dataValidation allowBlank="1" type="list" errorStyle="stop" sqref="E39:Y39">
      <formula1>"Ya,Tidak"</formula1>
    </dataValidation>
    <dataValidation allowBlank="1" type="list" errorStyle="stop" sqref="E65:Y65">
      <formula1>"Ya,Tidak"</formula1>
    </dataValidation>
    <dataValidation allowBlank="1" type="list" errorStyle="stop" sqref="E80:Y80">
      <formula1>"Ya,Tidak"</formula1>
    </dataValidation>
    <dataValidation allowBlank="1" type="list" errorStyle="stop" sqref="E78:Y78">
      <formula1>"Ya,Tidak"</formula1>
    </dataValidation>
    <dataValidation allowBlank="1" type="list" errorStyle="stop" sqref="E68:Y68">
      <formula1>"Ya,Tidak"</formula1>
    </dataValidation>
    <dataValidation allowBlank="1" type="list" errorStyle="stop" sqref="E113:Y113">
      <formula1>"Ya,Tidak"</formula1>
    </dataValidation>
    <dataValidation allowBlank="1" type="list" errorStyle="stop" sqref="E126:Y126">
      <formula1>"Ya,Tidak"</formula1>
    </dataValidation>
    <dataValidation allowBlank="1" type="list" errorStyle="stop" sqref="E64:Y64">
      <formula1>"Ya,Tidak"</formula1>
    </dataValidation>
    <dataValidation allowBlank="1" type="list" errorStyle="stop" sqref="E73:Y73">
      <formula1>"Ya,Tidak"</formula1>
    </dataValidation>
    <dataValidation allowBlank="1" type="list" errorStyle="stop" sqref="E67:Y67">
      <formula1>"Ya,Tidak"</formula1>
    </dataValidation>
    <dataValidation allowBlank="1" type="list" errorStyle="stop" sqref="E70:Y70">
      <formula1>"Ya,Tidak"</formula1>
    </dataValidation>
    <dataValidation allowBlank="1" type="list" errorStyle="stop" sqref="E99:Y99">
      <formula1>"Ya,Tidak"</formula1>
    </dataValidation>
    <dataValidation allowBlank="1" type="list" errorStyle="stop" sqref="E114:Y114">
      <formula1>"Ya,Tidak"</formula1>
    </dataValidation>
    <dataValidation allowBlank="1" type="list" errorStyle="stop" sqref="E112:Y112">
      <formula1>"Ya,Tidak"</formula1>
    </dataValidation>
    <dataValidation allowBlank="1" type="list" errorStyle="stop" sqref="E102:Y102">
      <formula1>"Ya,Tidak"</formula1>
    </dataValidation>
    <dataValidation allowBlank="1" type="list" errorStyle="stop" sqref="E74:Y74">
      <formula1>"Ya,Tidak"</formula1>
    </dataValidation>
    <dataValidation allowBlank="1" type="list" errorStyle="stop" sqref="E92:Y92">
      <formula1>"Ya,Tidak"</formula1>
    </dataValidation>
    <dataValidation allowBlank="1" type="list" errorStyle="stop" sqref="E66:Y66">
      <formula1>"Ya,Tidak"</formula1>
    </dataValidation>
    <dataValidation allowBlank="1" type="list" errorStyle="stop" sqref="E85:Y85">
      <formula1>"Ya,Tidak"</formula1>
    </dataValidation>
    <dataValidation allowBlank="1" type="list" errorStyle="stop" sqref="E48:Y48">
      <formula1>"Ya,Tidak"</formula1>
    </dataValidation>
    <dataValidation allowBlank="1" type="list" errorStyle="stop" sqref="E71:Y71">
      <formula1>"Ya,Tidak"</formula1>
    </dataValidation>
    <dataValidation allowBlank="1" type="list" errorStyle="stop" sqref="E82:Y82">
      <formula1>"Ya,Tidak"</formula1>
    </dataValidation>
    <dataValidation allowBlank="1" type="list" errorStyle="stop" sqref="E105:Y105">
      <formula1>"Ya,Tidak"</formula1>
    </dataValidation>
    <dataValidation allowBlank="1" type="list" errorStyle="stop" sqref="E8:Y8">
      <formula1>"Ya,Tidak"</formula1>
    </dataValidation>
    <dataValidation allowBlank="1" type="list" errorStyle="stop" sqref="E24:Y24">
      <formula1>"Ya,Tidak"</formula1>
    </dataValidation>
    <dataValidation allowBlank="1" type="list" errorStyle="stop" sqref="E79:Y79">
      <formula1>"Ya,Tidak"</formula1>
    </dataValidation>
    <dataValidation allowBlank="1" type="list" errorStyle="stop" sqref="E94:Y94">
      <formula1>"Ya,Tidak"</formula1>
    </dataValidation>
    <dataValidation allowBlank="1" type="list" errorStyle="stop" sqref="E7:Y7">
      <formula1>"Ya,Tidak"</formula1>
    </dataValidation>
    <dataValidation allowBlank="1" type="list" errorStyle="stop" sqref="E19:Y19">
      <formula1>"Ya,Tidak"</formula1>
    </dataValidation>
    <dataValidation allowBlank="1" type="list" errorStyle="stop" sqref="E16:Y16">
      <formula1>"Ya,Tidak"</formula1>
    </dataValidation>
    <dataValidation allowBlank="1" type="list" errorStyle="stop" sqref="E13:Y13">
      <formula1>"Ya,Tidak"</formula1>
    </dataValidation>
    <dataValidation allowBlank="1" type="list" errorStyle="stop" sqref="E47:Y47">
      <formula1>"Ya,Tidak"</formula1>
    </dataValidation>
    <dataValidation allowBlank="1" type="list" errorStyle="stop" sqref="E62:Y62">
      <formula1>"Ya,Tidak"</formula1>
    </dataValidation>
    <dataValidation allowBlank="1" type="list" errorStyle="stop" sqref="E59:Y59">
      <formula1>"Ya,Tidak"</formula1>
    </dataValidation>
    <dataValidation allowBlank="1" type="list" errorStyle="stop" sqref="E52:Y52">
      <formula1>"Ya,Tidak"</formula1>
    </dataValidation>
    <dataValidation allowBlank="1" type="list" errorStyle="stop" sqref="E50:Y50">
      <formula1>"Ya,Tidak"</formula1>
    </dataValidation>
    <dataValidation allowBlank="1" type="list" errorStyle="stop" sqref="E54:Y54">
      <formula1>"Ya,Tidak"</formula1>
    </dataValidation>
    <dataValidation allowBlank="1" type="list" errorStyle="stop" sqref="E61:Y61">
      <formula1>"Ya,Tidak"</formula1>
    </dataValidation>
    <dataValidation allowBlank="1" type="list" errorStyle="stop" sqref="E45:Y45">
      <formula1>"Ya,Tidak"</formula1>
    </dataValidation>
    <dataValidation allowBlank="1" type="list" errorStyle="stop" sqref="E60:Y60">
      <formula1>"Ya,Tidak"</formula1>
    </dataValidation>
    <dataValidation allowBlank="1" type="list" errorStyle="stop" sqref="E42:Y42">
      <formula1>"Ya,Tidak"</formula1>
    </dataValidation>
    <dataValidation allowBlank="1" type="list" errorStyle="stop" sqref="E58:Y58">
      <formula1>"Ya,Tidak"</formula1>
    </dataValidation>
    <dataValidation allowBlank="1" type="list" errorStyle="stop" sqref="E33:Y33">
      <formula1>"Ya,Tidak"</formula1>
    </dataValidation>
    <dataValidation allowBlank="1" type="list" errorStyle="stop" sqref="E46:Y46">
      <formula1>"Ya,Tidak"</formula1>
    </dataValidation>
    <dataValidation allowBlank="1" type="list" errorStyle="stop" sqref="E44:Y44">
      <formula1>"Ya,Tidak"</formula1>
    </dataValidation>
    <dataValidation allowBlank="1" type="list" errorStyle="stop" sqref="E36:Y36">
      <formula1>"Ya,Tidak"</formula1>
    </dataValidation>
    <dataValidation allowBlank="1" type="list" errorStyle="stop" sqref="E15:Y15">
      <formula1>"Ya,Tidak"</formula1>
    </dataValidation>
    <dataValidation allowBlank="1" type="list" errorStyle="stop" sqref="E28:Y28">
      <formula1>"Ya,Tidak"</formula1>
    </dataValidation>
    <dataValidation allowBlank="1" type="list" errorStyle="stop" sqref="E25:Y25">
      <formula1>"Ya,Tidak"</formula1>
    </dataValidation>
    <dataValidation allowBlank="1" type="list" errorStyle="stop" sqref="E22:Y22">
      <formula1>"Ya,Tidak"</formula1>
    </dataValidation>
    <dataValidation allowBlank="1" type="list" errorStyle="stop" sqref="E21:Y21">
      <formula1>"Ya,Tidak"</formula1>
    </dataValidation>
    <dataValidation allowBlank="1" type="list" errorStyle="stop" sqref="E20:Y20">
      <formula1>"Ya,Tidak"</formula1>
    </dataValidation>
    <dataValidation allowBlank="1" type="list" errorStyle="stop" sqref="E27:Y27">
      <formula1>"Ya,Tidak"</formula1>
    </dataValidation>
    <dataValidation allowBlank="1" type="list" errorStyle="stop" sqref="E40:Y40">
      <formula1>"Ya,Tidak"</formula1>
    </dataValidation>
    <dataValidation allowBlank="1" type="list" errorStyle="stop" sqref="E53:Y53">
      <formula1>"Ya,Tidak"</formula1>
    </dataValidation>
  </dataValidations>
  <pageMargins left="0.75" right="0.75" top="1.0" bottom="1.0" header="0.5" footer="0.5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A10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48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6.0" customHeight="1">
      <c r="A1" s="1" t="s">
        <v>453</v>
      </c>
    </row>
    <row r="3" spans="8:8" ht="30.0" customHeight="1">
      <c r="A3" s="6" t="s">
        <v>31</v>
      </c>
      <c r="B3" s="6" t="s">
        <v>23</v>
      </c>
      <c r="C3" s="6" t="s">
        <v>454</v>
      </c>
      <c r="D3" s="6"/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6.0" customHeight="1">
      <c r="A4" s="7">
        <v>1.0</v>
      </c>
      <c r="B4" s="42" t="s">
        <v>12</v>
      </c>
      <c r="C4" s="43" t="s">
        <v>455</v>
      </c>
      <c r="D4" s="32"/>
      <c r="E4" s="9" t="str">
        <f>IF((IF(ISNUMBER(Cek_A!E5),4,0)+IF(ISNUMBER(Cek_A!E11),4,0)+IF(ISNUMBER(Cek_A!E17),4,0)+IF(ISNUMBER(Cek_A!E23),4,0)+IF(ISNUMBER(Cek_A!E29),4,0)+IF(ISNUMBER(Cek_A!E37),4,0)+IF(ISNUMBER(Cek_A!E43),4,0)+IF(ISNUMBER(Cek_A!E49),4,0)+IF(ISNUMBER(Cek_A!E55),4,0)+IF(ISNUMBER(Cek_A!E61),4,0)+IF(ISNUMBER(Cek_A!E69),4,0)+IF(ISNUMBER(Cek_A!E75),4,0)+IF(ISNUMBER(Cek_A!E81),4,0)+IF(ISNUMBER(Cek_A!E87),4,0)+IF(ISNUMBER(Cek_A!E93),4,0)+IF(ISNUMBER(Cek_A!E101),4,0)+IF(ISNUMBER(Cek_A!E107),4,0)+IF(ISNUMBER(Cek_A!E113),4,0)+IF(ISNUMBER(Cek_A!E119),4,0)+IF(ISNUMBER(Cek_A!E125),4,0)+IF(ISNUMBER(Cek_A!E133),4,0)+IF(ISNUMBER(Cek_A!E139),4,0)+IF(ISNUMBER(Cek_A!E145),4,0)+IF(ISNUMBER(Cek_A!E151),4,0)+IF(ISNUMBER(Cek_A!E157),4,0))=0,"",(IF(ISNUMBER(Cek_A!E5),Cek_A!E5*4,0)+IF(ISNUMBER(Cek_A!E11),Cek_A!E11*4,0)+IF(ISNUMBER(Cek_A!E17),Cek_A!E17*4,0)+IF(ISNUMBER(Cek_A!E23),Cek_A!E23*4,0)+IF(ISNUMBER(Cek_A!E29),Cek_A!E29*4,0)+IF(ISNUMBER(Cek_A!E37),Cek_A!E37*4,0)+IF(ISNUMBER(Cek_A!E43),Cek_A!E43*4,0)+IF(ISNUMBER(Cek_A!E49),Cek_A!E49*4,0)+IF(ISNUMBER(Cek_A!E55),Cek_A!E55*4,0)+IF(ISNUMBER(Cek_A!E61),Cek_A!E61*4,0)+IF(ISNUMBER(Cek_A!E69),Cek_A!E69*4,0)+IF(ISNUMBER(Cek_A!E75),Cek_A!E75*4,0)+IF(ISNUMBER(Cek_A!E81),Cek_A!E81*4,0)+IF(ISNUMBER(Cek_A!E87),Cek_A!E87*4,0)+IF(ISNUMBER(Cek_A!E93),Cek_A!E93*4,0)+IF(ISNUMBER(Cek_A!E101),Cek_A!E101*4,0)+IF(ISNUMBER(Cek_A!E107),Cek_A!E107*4,0)+IF(ISNUMBER(Cek_A!E113),Cek_A!E113*4,0)+IF(ISNUMBER(Cek_A!E119),Cek_A!E119*4,0)+IF(ISNUMBER(Cek_A!E125),Cek_A!E125*4,0)+IF(ISNUMBER(Cek_A!E133),Cek_A!E133*4,0)+IF(ISNUMBER(Cek_A!E139),Cek_A!E139*4,0)+IF(ISNUMBER(Cek_A!E145),Cek_A!E145*4,0)+IF(ISNUMBER(Cek_A!E151),Cek_A!E151*4,0)+IF(ISNUMBER(Cek_A!E157),Cek_A!E157*4,0))/(IF(ISNUMBER(Cek_A!E5),4,0)+IF(ISNUMBER(Cek_A!E11),4,0)+IF(ISNUMBER(Cek_A!E17),4,0)+IF(ISNUMBER(Cek_A!E23),4,0)+IF(ISNUMBER(Cek_A!E29),4,0)+IF(ISNUMBER(Cek_A!E37),4,0)+IF(ISNUMBER(Cek_A!E43),4,0)+IF(ISNUMBER(Cek_A!E49),4,0)+IF(ISNUMBER(Cek_A!E55),4,0)+IF(ISNUMBER(Cek_A!E61),4,0)+IF(ISNUMBER(Cek_A!E69),4,0)+IF(ISNUMBER(Cek_A!E75),4,0)+IF(ISNUMBER(Cek_A!E81),4,0)+IF(ISNUMBER(Cek_A!E87),4,0)+IF(ISNUMBER(Cek_A!E93),4,0)+IF(ISNUMBER(Cek_A!E101),4,0)+IF(ISNUMBER(Cek_A!E107),4,0)+IF(ISNUMBER(Cek_A!E113),4,0)+IF(ISNUMBER(Cek_A!E119),4,0)+IF(ISNUMBER(Cek_A!E125),4,0)+IF(ISNUMBER(Cek_A!E133),4,0)+IF(ISNUMBER(Cek_A!E139),4,0)+IF(ISNUMBER(Cek_A!E145),4,0)+IF(ISNUMBER(Cek_A!E151),4,0)+IF(ISNUMBER(Cek_A!E157),4,0)))</f>
        <v/>
      </c>
      <c r="F4" s="9" t="str">
        <f>IF((IF(ISNUMBER(Cek_A!F5),4,0)+IF(ISNUMBER(Cek_A!F11),4,0)+IF(ISNUMBER(Cek_A!F17),4,0)+IF(ISNUMBER(Cek_A!F23),4,0)+IF(ISNUMBER(Cek_A!F29),4,0)+IF(ISNUMBER(Cek_A!F37),4,0)+IF(ISNUMBER(Cek_A!F43),4,0)+IF(ISNUMBER(Cek_A!F49),4,0)+IF(ISNUMBER(Cek_A!F55),4,0)+IF(ISNUMBER(Cek_A!F61),4,0)+IF(ISNUMBER(Cek_A!F69),4,0)+IF(ISNUMBER(Cek_A!F75),4,0)+IF(ISNUMBER(Cek_A!F81),4,0)+IF(ISNUMBER(Cek_A!F87),4,0)+IF(ISNUMBER(Cek_A!F93),4,0)+IF(ISNUMBER(Cek_A!F101),4,0)+IF(ISNUMBER(Cek_A!F107),4,0)+IF(ISNUMBER(Cek_A!F113),4,0)+IF(ISNUMBER(Cek_A!F119),4,0)+IF(ISNUMBER(Cek_A!F125),4,0)+IF(ISNUMBER(Cek_A!F133),4,0)+IF(ISNUMBER(Cek_A!F139),4,0)+IF(ISNUMBER(Cek_A!F145),4,0)+IF(ISNUMBER(Cek_A!F151),4,0)+IF(ISNUMBER(Cek_A!F157),4,0))=0,"",(IF(ISNUMBER(Cek_A!F5),Cek_A!F5*4,0)+IF(ISNUMBER(Cek_A!F11),Cek_A!F11*4,0)+IF(ISNUMBER(Cek_A!F17),Cek_A!F17*4,0)+IF(ISNUMBER(Cek_A!F23),Cek_A!F23*4,0)+IF(ISNUMBER(Cek_A!F29),Cek_A!F29*4,0)+IF(ISNUMBER(Cek_A!F37),Cek_A!F37*4,0)+IF(ISNUMBER(Cek_A!F43),Cek_A!F43*4,0)+IF(ISNUMBER(Cek_A!F49),Cek_A!F49*4,0)+IF(ISNUMBER(Cek_A!F55),Cek_A!F55*4,0)+IF(ISNUMBER(Cek_A!F61),Cek_A!F61*4,0)+IF(ISNUMBER(Cek_A!F69),Cek_A!F69*4,0)+IF(ISNUMBER(Cek_A!F75),Cek_A!F75*4,0)+IF(ISNUMBER(Cek_A!F81),Cek_A!F81*4,0)+IF(ISNUMBER(Cek_A!F87),Cek_A!F87*4,0)+IF(ISNUMBER(Cek_A!F93),Cek_A!F93*4,0)+IF(ISNUMBER(Cek_A!F101),Cek_A!F101*4,0)+IF(ISNUMBER(Cek_A!F107),Cek_A!F107*4,0)+IF(ISNUMBER(Cek_A!F113),Cek_A!F113*4,0)+IF(ISNUMBER(Cek_A!F119),Cek_A!F119*4,0)+IF(ISNUMBER(Cek_A!F125),Cek_A!F125*4,0)+IF(ISNUMBER(Cek_A!F133),Cek_A!F133*4,0)+IF(ISNUMBER(Cek_A!F139),Cek_A!F139*4,0)+IF(ISNUMBER(Cek_A!F145),Cek_A!F145*4,0)+IF(ISNUMBER(Cek_A!F151),Cek_A!F151*4,0)+IF(ISNUMBER(Cek_A!F157),Cek_A!F157*4,0))/(IF(ISNUMBER(Cek_A!F5),4,0)+IF(ISNUMBER(Cek_A!F11),4,0)+IF(ISNUMBER(Cek_A!F17),4,0)+IF(ISNUMBER(Cek_A!F23),4,0)+IF(ISNUMBER(Cek_A!F29),4,0)+IF(ISNUMBER(Cek_A!F37),4,0)+IF(ISNUMBER(Cek_A!F43),4,0)+IF(ISNUMBER(Cek_A!F49),4,0)+IF(ISNUMBER(Cek_A!F55),4,0)+IF(ISNUMBER(Cek_A!F61),4,0)+IF(ISNUMBER(Cek_A!F69),4,0)+IF(ISNUMBER(Cek_A!F75),4,0)+IF(ISNUMBER(Cek_A!F81),4,0)+IF(ISNUMBER(Cek_A!F87),4,0)+IF(ISNUMBER(Cek_A!F93),4,0)+IF(ISNUMBER(Cek_A!F101),4,0)+IF(ISNUMBER(Cek_A!F107),4,0)+IF(ISNUMBER(Cek_A!F113),4,0)+IF(ISNUMBER(Cek_A!F119),4,0)+IF(ISNUMBER(Cek_A!F125),4,0)+IF(ISNUMBER(Cek_A!F133),4,0)+IF(ISNUMBER(Cek_A!F139),4,0)+IF(ISNUMBER(Cek_A!F145),4,0)+IF(ISNUMBER(Cek_A!F151),4,0)+IF(ISNUMBER(Cek_A!F157),4,0)))</f>
        <v/>
      </c>
      <c r="G4" s="9" t="str">
        <f>IF((IF(ISNUMBER(Cek_A!G5),4,0)+IF(ISNUMBER(Cek_A!G11),4,0)+IF(ISNUMBER(Cek_A!G17),4,0)+IF(ISNUMBER(Cek_A!G23),4,0)+IF(ISNUMBER(Cek_A!G29),4,0)+IF(ISNUMBER(Cek_A!G37),4,0)+IF(ISNUMBER(Cek_A!G43),4,0)+IF(ISNUMBER(Cek_A!G49),4,0)+IF(ISNUMBER(Cek_A!G55),4,0)+IF(ISNUMBER(Cek_A!G61),4,0)+IF(ISNUMBER(Cek_A!G69),4,0)+IF(ISNUMBER(Cek_A!G75),4,0)+IF(ISNUMBER(Cek_A!G81),4,0)+IF(ISNUMBER(Cek_A!G87),4,0)+IF(ISNUMBER(Cek_A!G93),4,0)+IF(ISNUMBER(Cek_A!G101),4,0)+IF(ISNUMBER(Cek_A!G107),4,0)+IF(ISNUMBER(Cek_A!G113),4,0)+IF(ISNUMBER(Cek_A!G119),4,0)+IF(ISNUMBER(Cek_A!G125),4,0)+IF(ISNUMBER(Cek_A!G133),4,0)+IF(ISNUMBER(Cek_A!G139),4,0)+IF(ISNUMBER(Cek_A!G145),4,0)+IF(ISNUMBER(Cek_A!G151),4,0)+IF(ISNUMBER(Cek_A!G157),4,0))=0,"",(IF(ISNUMBER(Cek_A!G5),Cek_A!G5*4,0)+IF(ISNUMBER(Cek_A!G11),Cek_A!G11*4,0)+IF(ISNUMBER(Cek_A!G17),Cek_A!G17*4,0)+IF(ISNUMBER(Cek_A!G23),Cek_A!G23*4,0)+IF(ISNUMBER(Cek_A!G29),Cek_A!G29*4,0)+IF(ISNUMBER(Cek_A!G37),Cek_A!G37*4,0)+IF(ISNUMBER(Cek_A!G43),Cek_A!G43*4,0)+IF(ISNUMBER(Cek_A!G49),Cek_A!G49*4,0)+IF(ISNUMBER(Cek_A!G55),Cek_A!G55*4,0)+IF(ISNUMBER(Cek_A!G61),Cek_A!G61*4,0)+IF(ISNUMBER(Cek_A!G69),Cek_A!G69*4,0)+IF(ISNUMBER(Cek_A!G75),Cek_A!G75*4,0)+IF(ISNUMBER(Cek_A!G81),Cek_A!G81*4,0)+IF(ISNUMBER(Cek_A!G87),Cek_A!G87*4,0)+IF(ISNUMBER(Cek_A!G93),Cek_A!G93*4,0)+IF(ISNUMBER(Cek_A!G101),Cek_A!G101*4,0)+IF(ISNUMBER(Cek_A!G107),Cek_A!G107*4,0)+IF(ISNUMBER(Cek_A!G113),Cek_A!G113*4,0)+IF(ISNUMBER(Cek_A!G119),Cek_A!G119*4,0)+IF(ISNUMBER(Cek_A!G125),Cek_A!G125*4,0)+IF(ISNUMBER(Cek_A!G133),Cek_A!G133*4,0)+IF(ISNUMBER(Cek_A!G139),Cek_A!G139*4,0)+IF(ISNUMBER(Cek_A!G145),Cek_A!G145*4,0)+IF(ISNUMBER(Cek_A!G151),Cek_A!G151*4,0)+IF(ISNUMBER(Cek_A!G157),Cek_A!G157*4,0))/(IF(ISNUMBER(Cek_A!G5),4,0)+IF(ISNUMBER(Cek_A!G11),4,0)+IF(ISNUMBER(Cek_A!G17),4,0)+IF(ISNUMBER(Cek_A!G23),4,0)+IF(ISNUMBER(Cek_A!G29),4,0)+IF(ISNUMBER(Cek_A!G37),4,0)+IF(ISNUMBER(Cek_A!G43),4,0)+IF(ISNUMBER(Cek_A!G49),4,0)+IF(ISNUMBER(Cek_A!G55),4,0)+IF(ISNUMBER(Cek_A!G61),4,0)+IF(ISNUMBER(Cek_A!G69),4,0)+IF(ISNUMBER(Cek_A!G75),4,0)+IF(ISNUMBER(Cek_A!G81),4,0)+IF(ISNUMBER(Cek_A!G87),4,0)+IF(ISNUMBER(Cek_A!G93),4,0)+IF(ISNUMBER(Cek_A!G101),4,0)+IF(ISNUMBER(Cek_A!G107),4,0)+IF(ISNUMBER(Cek_A!G113),4,0)+IF(ISNUMBER(Cek_A!G119),4,0)+IF(ISNUMBER(Cek_A!G125),4,0)+IF(ISNUMBER(Cek_A!G133),4,0)+IF(ISNUMBER(Cek_A!G139),4,0)+IF(ISNUMBER(Cek_A!G145),4,0)+IF(ISNUMBER(Cek_A!G151),4,0)+IF(ISNUMBER(Cek_A!G157),4,0)))</f>
        <v/>
      </c>
      <c r="H4" s="9" t="str">
        <f>IF((IF(ISNUMBER(Cek_A!H5),4,0)+IF(ISNUMBER(Cek_A!H11),4,0)+IF(ISNUMBER(Cek_A!H17),4,0)+IF(ISNUMBER(Cek_A!H23),4,0)+IF(ISNUMBER(Cek_A!H29),4,0)+IF(ISNUMBER(Cek_A!H37),4,0)+IF(ISNUMBER(Cek_A!H43),4,0)+IF(ISNUMBER(Cek_A!H49),4,0)+IF(ISNUMBER(Cek_A!H55),4,0)+IF(ISNUMBER(Cek_A!H61),4,0)+IF(ISNUMBER(Cek_A!H69),4,0)+IF(ISNUMBER(Cek_A!H75),4,0)+IF(ISNUMBER(Cek_A!H81),4,0)+IF(ISNUMBER(Cek_A!H87),4,0)+IF(ISNUMBER(Cek_A!H93),4,0)+IF(ISNUMBER(Cek_A!H101),4,0)+IF(ISNUMBER(Cek_A!H107),4,0)+IF(ISNUMBER(Cek_A!H113),4,0)+IF(ISNUMBER(Cek_A!H119),4,0)+IF(ISNUMBER(Cek_A!H125),4,0)+IF(ISNUMBER(Cek_A!H133),4,0)+IF(ISNUMBER(Cek_A!H139),4,0)+IF(ISNUMBER(Cek_A!H145),4,0)+IF(ISNUMBER(Cek_A!H151),4,0)+IF(ISNUMBER(Cek_A!H157),4,0))=0,"",(IF(ISNUMBER(Cek_A!H5),Cek_A!H5*4,0)+IF(ISNUMBER(Cek_A!H11),Cek_A!H11*4,0)+IF(ISNUMBER(Cek_A!H17),Cek_A!H17*4,0)+IF(ISNUMBER(Cek_A!H23),Cek_A!H23*4,0)+IF(ISNUMBER(Cek_A!H29),Cek_A!H29*4,0)+IF(ISNUMBER(Cek_A!H37),Cek_A!H37*4,0)+IF(ISNUMBER(Cek_A!H43),Cek_A!H43*4,0)+IF(ISNUMBER(Cek_A!H49),Cek_A!H49*4,0)+IF(ISNUMBER(Cek_A!H55),Cek_A!H55*4,0)+IF(ISNUMBER(Cek_A!H61),Cek_A!H61*4,0)+IF(ISNUMBER(Cek_A!H69),Cek_A!H69*4,0)+IF(ISNUMBER(Cek_A!H75),Cek_A!H75*4,0)+IF(ISNUMBER(Cek_A!H81),Cek_A!H81*4,0)+IF(ISNUMBER(Cek_A!H87),Cek_A!H87*4,0)+IF(ISNUMBER(Cek_A!H93),Cek_A!H93*4,0)+IF(ISNUMBER(Cek_A!H101),Cek_A!H101*4,0)+IF(ISNUMBER(Cek_A!H107),Cek_A!H107*4,0)+IF(ISNUMBER(Cek_A!H113),Cek_A!H113*4,0)+IF(ISNUMBER(Cek_A!H119),Cek_A!H119*4,0)+IF(ISNUMBER(Cek_A!H125),Cek_A!H125*4,0)+IF(ISNUMBER(Cek_A!H133),Cek_A!H133*4,0)+IF(ISNUMBER(Cek_A!H139),Cek_A!H139*4,0)+IF(ISNUMBER(Cek_A!H145),Cek_A!H145*4,0)+IF(ISNUMBER(Cek_A!H151),Cek_A!H151*4,0)+IF(ISNUMBER(Cek_A!H157),Cek_A!H157*4,0))/(IF(ISNUMBER(Cek_A!H5),4,0)+IF(ISNUMBER(Cek_A!H11),4,0)+IF(ISNUMBER(Cek_A!H17),4,0)+IF(ISNUMBER(Cek_A!H23),4,0)+IF(ISNUMBER(Cek_A!H29),4,0)+IF(ISNUMBER(Cek_A!H37),4,0)+IF(ISNUMBER(Cek_A!H43),4,0)+IF(ISNUMBER(Cek_A!H49),4,0)+IF(ISNUMBER(Cek_A!H55),4,0)+IF(ISNUMBER(Cek_A!H61),4,0)+IF(ISNUMBER(Cek_A!H69),4,0)+IF(ISNUMBER(Cek_A!H75),4,0)+IF(ISNUMBER(Cek_A!H81),4,0)+IF(ISNUMBER(Cek_A!H87),4,0)+IF(ISNUMBER(Cek_A!H93),4,0)+IF(ISNUMBER(Cek_A!H101),4,0)+IF(ISNUMBER(Cek_A!H107),4,0)+IF(ISNUMBER(Cek_A!H113),4,0)+IF(ISNUMBER(Cek_A!H119),4,0)+IF(ISNUMBER(Cek_A!H125),4,0)+IF(ISNUMBER(Cek_A!H133),4,0)+IF(ISNUMBER(Cek_A!H139),4,0)+IF(ISNUMBER(Cek_A!H145),4,0)+IF(ISNUMBER(Cek_A!H151),4,0)+IF(ISNUMBER(Cek_A!H157),4,0)))</f>
        <v/>
      </c>
      <c r="I4" s="9" t="str">
        <f>IF((IF(ISNUMBER(Cek_A!I5),4,0)+IF(ISNUMBER(Cek_A!I11),4,0)+IF(ISNUMBER(Cek_A!I17),4,0)+IF(ISNUMBER(Cek_A!I23),4,0)+IF(ISNUMBER(Cek_A!I29),4,0)+IF(ISNUMBER(Cek_A!I37),4,0)+IF(ISNUMBER(Cek_A!I43),4,0)+IF(ISNUMBER(Cek_A!I49),4,0)+IF(ISNUMBER(Cek_A!I55),4,0)+IF(ISNUMBER(Cek_A!I61),4,0)+IF(ISNUMBER(Cek_A!I69),4,0)+IF(ISNUMBER(Cek_A!I75),4,0)+IF(ISNUMBER(Cek_A!I81),4,0)+IF(ISNUMBER(Cek_A!I87),4,0)+IF(ISNUMBER(Cek_A!I93),4,0)+IF(ISNUMBER(Cek_A!I101),4,0)+IF(ISNUMBER(Cek_A!I107),4,0)+IF(ISNUMBER(Cek_A!I113),4,0)+IF(ISNUMBER(Cek_A!I119),4,0)+IF(ISNUMBER(Cek_A!I125),4,0)+IF(ISNUMBER(Cek_A!I133),4,0)+IF(ISNUMBER(Cek_A!I139),4,0)+IF(ISNUMBER(Cek_A!I145),4,0)+IF(ISNUMBER(Cek_A!I151),4,0)+IF(ISNUMBER(Cek_A!I157),4,0))=0,"",(IF(ISNUMBER(Cek_A!I5),Cek_A!I5*4,0)+IF(ISNUMBER(Cek_A!I11),Cek_A!I11*4,0)+IF(ISNUMBER(Cek_A!I17),Cek_A!I17*4,0)+IF(ISNUMBER(Cek_A!I23),Cek_A!I23*4,0)+IF(ISNUMBER(Cek_A!I29),Cek_A!I29*4,0)+IF(ISNUMBER(Cek_A!I37),Cek_A!I37*4,0)+IF(ISNUMBER(Cek_A!I43),Cek_A!I43*4,0)+IF(ISNUMBER(Cek_A!I49),Cek_A!I49*4,0)+IF(ISNUMBER(Cek_A!I55),Cek_A!I55*4,0)+IF(ISNUMBER(Cek_A!I61),Cek_A!I61*4,0)+IF(ISNUMBER(Cek_A!I69),Cek_A!I69*4,0)+IF(ISNUMBER(Cek_A!I75),Cek_A!I75*4,0)+IF(ISNUMBER(Cek_A!I81),Cek_A!I81*4,0)+IF(ISNUMBER(Cek_A!I87),Cek_A!I87*4,0)+IF(ISNUMBER(Cek_A!I93),Cek_A!I93*4,0)+IF(ISNUMBER(Cek_A!I101),Cek_A!I101*4,0)+IF(ISNUMBER(Cek_A!I107),Cek_A!I107*4,0)+IF(ISNUMBER(Cek_A!I113),Cek_A!I113*4,0)+IF(ISNUMBER(Cek_A!I119),Cek_A!I119*4,0)+IF(ISNUMBER(Cek_A!I125),Cek_A!I125*4,0)+IF(ISNUMBER(Cek_A!I133),Cek_A!I133*4,0)+IF(ISNUMBER(Cek_A!I139),Cek_A!I139*4,0)+IF(ISNUMBER(Cek_A!I145),Cek_A!I145*4,0)+IF(ISNUMBER(Cek_A!I151),Cek_A!I151*4,0)+IF(ISNUMBER(Cek_A!I157),Cek_A!I157*4,0))/(IF(ISNUMBER(Cek_A!I5),4,0)+IF(ISNUMBER(Cek_A!I11),4,0)+IF(ISNUMBER(Cek_A!I17),4,0)+IF(ISNUMBER(Cek_A!I23),4,0)+IF(ISNUMBER(Cek_A!I29),4,0)+IF(ISNUMBER(Cek_A!I37),4,0)+IF(ISNUMBER(Cek_A!I43),4,0)+IF(ISNUMBER(Cek_A!I49),4,0)+IF(ISNUMBER(Cek_A!I55),4,0)+IF(ISNUMBER(Cek_A!I61),4,0)+IF(ISNUMBER(Cek_A!I69),4,0)+IF(ISNUMBER(Cek_A!I75),4,0)+IF(ISNUMBER(Cek_A!I81),4,0)+IF(ISNUMBER(Cek_A!I87),4,0)+IF(ISNUMBER(Cek_A!I93),4,0)+IF(ISNUMBER(Cek_A!I101),4,0)+IF(ISNUMBER(Cek_A!I107),4,0)+IF(ISNUMBER(Cek_A!I113),4,0)+IF(ISNUMBER(Cek_A!I119),4,0)+IF(ISNUMBER(Cek_A!I125),4,0)+IF(ISNUMBER(Cek_A!I133),4,0)+IF(ISNUMBER(Cek_A!I139),4,0)+IF(ISNUMBER(Cek_A!I145),4,0)+IF(ISNUMBER(Cek_A!I151),4,0)+IF(ISNUMBER(Cek_A!I157),4,0)))</f>
        <v/>
      </c>
      <c r="J4" s="9" t="str">
        <f>IF((IF(ISNUMBER(Cek_A!J5),4,0)+IF(ISNUMBER(Cek_A!J11),4,0)+IF(ISNUMBER(Cek_A!J17),4,0)+IF(ISNUMBER(Cek_A!J23),4,0)+IF(ISNUMBER(Cek_A!J29),4,0)+IF(ISNUMBER(Cek_A!J37),4,0)+IF(ISNUMBER(Cek_A!J43),4,0)+IF(ISNUMBER(Cek_A!J49),4,0)+IF(ISNUMBER(Cek_A!J55),4,0)+IF(ISNUMBER(Cek_A!J61),4,0)+IF(ISNUMBER(Cek_A!J69),4,0)+IF(ISNUMBER(Cek_A!J75),4,0)+IF(ISNUMBER(Cek_A!J81),4,0)+IF(ISNUMBER(Cek_A!J87),4,0)+IF(ISNUMBER(Cek_A!J93),4,0)+IF(ISNUMBER(Cek_A!J101),4,0)+IF(ISNUMBER(Cek_A!J107),4,0)+IF(ISNUMBER(Cek_A!J113),4,0)+IF(ISNUMBER(Cek_A!J119),4,0)+IF(ISNUMBER(Cek_A!J125),4,0)+IF(ISNUMBER(Cek_A!J133),4,0)+IF(ISNUMBER(Cek_A!J139),4,0)+IF(ISNUMBER(Cek_A!J145),4,0)+IF(ISNUMBER(Cek_A!J151),4,0)+IF(ISNUMBER(Cek_A!J157),4,0))=0,"",(IF(ISNUMBER(Cek_A!J5),Cek_A!J5*4,0)+IF(ISNUMBER(Cek_A!J11),Cek_A!J11*4,0)+IF(ISNUMBER(Cek_A!J17),Cek_A!J17*4,0)+IF(ISNUMBER(Cek_A!J23),Cek_A!J23*4,0)+IF(ISNUMBER(Cek_A!J29),Cek_A!J29*4,0)+IF(ISNUMBER(Cek_A!J37),Cek_A!J37*4,0)+IF(ISNUMBER(Cek_A!J43),Cek_A!J43*4,0)+IF(ISNUMBER(Cek_A!J49),Cek_A!J49*4,0)+IF(ISNUMBER(Cek_A!J55),Cek_A!J55*4,0)+IF(ISNUMBER(Cek_A!J61),Cek_A!J61*4,0)+IF(ISNUMBER(Cek_A!J69),Cek_A!J69*4,0)+IF(ISNUMBER(Cek_A!J75),Cek_A!J75*4,0)+IF(ISNUMBER(Cek_A!J81),Cek_A!J81*4,0)+IF(ISNUMBER(Cek_A!J87),Cek_A!J87*4,0)+IF(ISNUMBER(Cek_A!J93),Cek_A!J93*4,0)+IF(ISNUMBER(Cek_A!J101),Cek_A!J101*4,0)+IF(ISNUMBER(Cek_A!J107),Cek_A!J107*4,0)+IF(ISNUMBER(Cek_A!J113),Cek_A!J113*4,0)+IF(ISNUMBER(Cek_A!J119),Cek_A!J119*4,0)+IF(ISNUMBER(Cek_A!J125),Cek_A!J125*4,0)+IF(ISNUMBER(Cek_A!J133),Cek_A!J133*4,0)+IF(ISNUMBER(Cek_A!J139),Cek_A!J139*4,0)+IF(ISNUMBER(Cek_A!J145),Cek_A!J145*4,0)+IF(ISNUMBER(Cek_A!J151),Cek_A!J151*4,0)+IF(ISNUMBER(Cek_A!J157),Cek_A!J157*4,0))/(IF(ISNUMBER(Cek_A!J5),4,0)+IF(ISNUMBER(Cek_A!J11),4,0)+IF(ISNUMBER(Cek_A!J17),4,0)+IF(ISNUMBER(Cek_A!J23),4,0)+IF(ISNUMBER(Cek_A!J29),4,0)+IF(ISNUMBER(Cek_A!J37),4,0)+IF(ISNUMBER(Cek_A!J43),4,0)+IF(ISNUMBER(Cek_A!J49),4,0)+IF(ISNUMBER(Cek_A!J55),4,0)+IF(ISNUMBER(Cek_A!J61),4,0)+IF(ISNUMBER(Cek_A!J69),4,0)+IF(ISNUMBER(Cek_A!J75),4,0)+IF(ISNUMBER(Cek_A!J81),4,0)+IF(ISNUMBER(Cek_A!J87),4,0)+IF(ISNUMBER(Cek_A!J93),4,0)+IF(ISNUMBER(Cek_A!J101),4,0)+IF(ISNUMBER(Cek_A!J107),4,0)+IF(ISNUMBER(Cek_A!J113),4,0)+IF(ISNUMBER(Cek_A!J119),4,0)+IF(ISNUMBER(Cek_A!J125),4,0)+IF(ISNUMBER(Cek_A!J133),4,0)+IF(ISNUMBER(Cek_A!J139),4,0)+IF(ISNUMBER(Cek_A!J145),4,0)+IF(ISNUMBER(Cek_A!J151),4,0)+IF(ISNUMBER(Cek_A!J157),4,0)))</f>
        <v/>
      </c>
      <c r="K4" s="9" t="str">
        <f>IF((IF(ISNUMBER(Cek_A!K5),4,0)+IF(ISNUMBER(Cek_A!K11),4,0)+IF(ISNUMBER(Cek_A!K17),4,0)+IF(ISNUMBER(Cek_A!K23),4,0)+IF(ISNUMBER(Cek_A!K29),4,0)+IF(ISNUMBER(Cek_A!K37),4,0)+IF(ISNUMBER(Cek_A!K43),4,0)+IF(ISNUMBER(Cek_A!K49),4,0)+IF(ISNUMBER(Cek_A!K55),4,0)+IF(ISNUMBER(Cek_A!K61),4,0)+IF(ISNUMBER(Cek_A!K69),4,0)+IF(ISNUMBER(Cek_A!K75),4,0)+IF(ISNUMBER(Cek_A!K81),4,0)+IF(ISNUMBER(Cek_A!K87),4,0)+IF(ISNUMBER(Cek_A!K93),4,0)+IF(ISNUMBER(Cek_A!K101),4,0)+IF(ISNUMBER(Cek_A!K107),4,0)+IF(ISNUMBER(Cek_A!K113),4,0)+IF(ISNUMBER(Cek_A!K119),4,0)+IF(ISNUMBER(Cek_A!K125),4,0)+IF(ISNUMBER(Cek_A!K133),4,0)+IF(ISNUMBER(Cek_A!K139),4,0)+IF(ISNUMBER(Cek_A!K145),4,0)+IF(ISNUMBER(Cek_A!K151),4,0)+IF(ISNUMBER(Cek_A!K157),4,0))=0,"",(IF(ISNUMBER(Cek_A!K5),Cek_A!K5*4,0)+IF(ISNUMBER(Cek_A!K11),Cek_A!K11*4,0)+IF(ISNUMBER(Cek_A!K17),Cek_A!K17*4,0)+IF(ISNUMBER(Cek_A!K23),Cek_A!K23*4,0)+IF(ISNUMBER(Cek_A!K29),Cek_A!K29*4,0)+IF(ISNUMBER(Cek_A!K37),Cek_A!K37*4,0)+IF(ISNUMBER(Cek_A!K43),Cek_A!K43*4,0)+IF(ISNUMBER(Cek_A!K49),Cek_A!K49*4,0)+IF(ISNUMBER(Cek_A!K55),Cek_A!K55*4,0)+IF(ISNUMBER(Cek_A!K61),Cek_A!K61*4,0)+IF(ISNUMBER(Cek_A!K69),Cek_A!K69*4,0)+IF(ISNUMBER(Cek_A!K75),Cek_A!K75*4,0)+IF(ISNUMBER(Cek_A!K81),Cek_A!K81*4,0)+IF(ISNUMBER(Cek_A!K87),Cek_A!K87*4,0)+IF(ISNUMBER(Cek_A!K93),Cek_A!K93*4,0)+IF(ISNUMBER(Cek_A!K101),Cek_A!K101*4,0)+IF(ISNUMBER(Cek_A!K107),Cek_A!K107*4,0)+IF(ISNUMBER(Cek_A!K113),Cek_A!K113*4,0)+IF(ISNUMBER(Cek_A!K119),Cek_A!K119*4,0)+IF(ISNUMBER(Cek_A!K125),Cek_A!K125*4,0)+IF(ISNUMBER(Cek_A!K133),Cek_A!K133*4,0)+IF(ISNUMBER(Cek_A!K139),Cek_A!K139*4,0)+IF(ISNUMBER(Cek_A!K145),Cek_A!K145*4,0)+IF(ISNUMBER(Cek_A!K151),Cek_A!K151*4,0)+IF(ISNUMBER(Cek_A!K157),Cek_A!K157*4,0))/(IF(ISNUMBER(Cek_A!K5),4,0)+IF(ISNUMBER(Cek_A!K11),4,0)+IF(ISNUMBER(Cek_A!K17),4,0)+IF(ISNUMBER(Cek_A!K23),4,0)+IF(ISNUMBER(Cek_A!K29),4,0)+IF(ISNUMBER(Cek_A!K37),4,0)+IF(ISNUMBER(Cek_A!K43),4,0)+IF(ISNUMBER(Cek_A!K49),4,0)+IF(ISNUMBER(Cek_A!K55),4,0)+IF(ISNUMBER(Cek_A!K61),4,0)+IF(ISNUMBER(Cek_A!K69),4,0)+IF(ISNUMBER(Cek_A!K75),4,0)+IF(ISNUMBER(Cek_A!K81),4,0)+IF(ISNUMBER(Cek_A!K87),4,0)+IF(ISNUMBER(Cek_A!K93),4,0)+IF(ISNUMBER(Cek_A!K101),4,0)+IF(ISNUMBER(Cek_A!K107),4,0)+IF(ISNUMBER(Cek_A!K113),4,0)+IF(ISNUMBER(Cek_A!K119),4,0)+IF(ISNUMBER(Cek_A!K125),4,0)+IF(ISNUMBER(Cek_A!K133),4,0)+IF(ISNUMBER(Cek_A!K139),4,0)+IF(ISNUMBER(Cek_A!K145),4,0)+IF(ISNUMBER(Cek_A!K151),4,0)+IF(ISNUMBER(Cek_A!K157),4,0)))</f>
        <v/>
      </c>
      <c r="L4" s="9" t="str">
        <f>IF((IF(ISNUMBER(Cek_A!L5),4,0)+IF(ISNUMBER(Cek_A!L11),4,0)+IF(ISNUMBER(Cek_A!L17),4,0)+IF(ISNUMBER(Cek_A!L23),4,0)+IF(ISNUMBER(Cek_A!L29),4,0)+IF(ISNUMBER(Cek_A!L37),4,0)+IF(ISNUMBER(Cek_A!L43),4,0)+IF(ISNUMBER(Cek_A!L49),4,0)+IF(ISNUMBER(Cek_A!L55),4,0)+IF(ISNUMBER(Cek_A!L61),4,0)+IF(ISNUMBER(Cek_A!L69),4,0)+IF(ISNUMBER(Cek_A!L75),4,0)+IF(ISNUMBER(Cek_A!L81),4,0)+IF(ISNUMBER(Cek_A!L87),4,0)+IF(ISNUMBER(Cek_A!L93),4,0)+IF(ISNUMBER(Cek_A!L101),4,0)+IF(ISNUMBER(Cek_A!L107),4,0)+IF(ISNUMBER(Cek_A!L113),4,0)+IF(ISNUMBER(Cek_A!L119),4,0)+IF(ISNUMBER(Cek_A!L125),4,0)+IF(ISNUMBER(Cek_A!L133),4,0)+IF(ISNUMBER(Cek_A!L139),4,0)+IF(ISNUMBER(Cek_A!L145),4,0)+IF(ISNUMBER(Cek_A!L151),4,0)+IF(ISNUMBER(Cek_A!L157),4,0))=0,"",(IF(ISNUMBER(Cek_A!L5),Cek_A!L5*4,0)+IF(ISNUMBER(Cek_A!L11),Cek_A!L11*4,0)+IF(ISNUMBER(Cek_A!L17),Cek_A!L17*4,0)+IF(ISNUMBER(Cek_A!L23),Cek_A!L23*4,0)+IF(ISNUMBER(Cek_A!L29),Cek_A!L29*4,0)+IF(ISNUMBER(Cek_A!L37),Cek_A!L37*4,0)+IF(ISNUMBER(Cek_A!L43),Cek_A!L43*4,0)+IF(ISNUMBER(Cek_A!L49),Cek_A!L49*4,0)+IF(ISNUMBER(Cek_A!L55),Cek_A!L55*4,0)+IF(ISNUMBER(Cek_A!L61),Cek_A!L61*4,0)+IF(ISNUMBER(Cek_A!L69),Cek_A!L69*4,0)+IF(ISNUMBER(Cek_A!L75),Cek_A!L75*4,0)+IF(ISNUMBER(Cek_A!L81),Cek_A!L81*4,0)+IF(ISNUMBER(Cek_A!L87),Cek_A!L87*4,0)+IF(ISNUMBER(Cek_A!L93),Cek_A!L93*4,0)+IF(ISNUMBER(Cek_A!L101),Cek_A!L101*4,0)+IF(ISNUMBER(Cek_A!L107),Cek_A!L107*4,0)+IF(ISNUMBER(Cek_A!L113),Cek_A!L113*4,0)+IF(ISNUMBER(Cek_A!L119),Cek_A!L119*4,0)+IF(ISNUMBER(Cek_A!L125),Cek_A!L125*4,0)+IF(ISNUMBER(Cek_A!L133),Cek_A!L133*4,0)+IF(ISNUMBER(Cek_A!L139),Cek_A!L139*4,0)+IF(ISNUMBER(Cek_A!L145),Cek_A!L145*4,0)+IF(ISNUMBER(Cek_A!L151),Cek_A!L151*4,0)+IF(ISNUMBER(Cek_A!L157),Cek_A!L157*4,0))/(IF(ISNUMBER(Cek_A!L5),4,0)+IF(ISNUMBER(Cek_A!L11),4,0)+IF(ISNUMBER(Cek_A!L17),4,0)+IF(ISNUMBER(Cek_A!L23),4,0)+IF(ISNUMBER(Cek_A!L29),4,0)+IF(ISNUMBER(Cek_A!L37),4,0)+IF(ISNUMBER(Cek_A!L43),4,0)+IF(ISNUMBER(Cek_A!L49),4,0)+IF(ISNUMBER(Cek_A!L55),4,0)+IF(ISNUMBER(Cek_A!L61),4,0)+IF(ISNUMBER(Cek_A!L69),4,0)+IF(ISNUMBER(Cek_A!L75),4,0)+IF(ISNUMBER(Cek_A!L81),4,0)+IF(ISNUMBER(Cek_A!L87),4,0)+IF(ISNUMBER(Cek_A!L93),4,0)+IF(ISNUMBER(Cek_A!L101),4,0)+IF(ISNUMBER(Cek_A!L107),4,0)+IF(ISNUMBER(Cek_A!L113),4,0)+IF(ISNUMBER(Cek_A!L119),4,0)+IF(ISNUMBER(Cek_A!L125),4,0)+IF(ISNUMBER(Cek_A!L133),4,0)+IF(ISNUMBER(Cek_A!L139),4,0)+IF(ISNUMBER(Cek_A!L145),4,0)+IF(ISNUMBER(Cek_A!L151),4,0)+IF(ISNUMBER(Cek_A!L157),4,0)))</f>
        <v/>
      </c>
      <c r="M4" s="9" t="str">
        <f>IF((IF(ISNUMBER(Cek_A!M5),4,0)+IF(ISNUMBER(Cek_A!M11),4,0)+IF(ISNUMBER(Cek_A!M17),4,0)+IF(ISNUMBER(Cek_A!M23),4,0)+IF(ISNUMBER(Cek_A!M29),4,0)+IF(ISNUMBER(Cek_A!M37),4,0)+IF(ISNUMBER(Cek_A!M43),4,0)+IF(ISNUMBER(Cek_A!M49),4,0)+IF(ISNUMBER(Cek_A!M55),4,0)+IF(ISNUMBER(Cek_A!M61),4,0)+IF(ISNUMBER(Cek_A!M69),4,0)+IF(ISNUMBER(Cek_A!M75),4,0)+IF(ISNUMBER(Cek_A!M81),4,0)+IF(ISNUMBER(Cek_A!M87),4,0)+IF(ISNUMBER(Cek_A!M93),4,0)+IF(ISNUMBER(Cek_A!M101),4,0)+IF(ISNUMBER(Cek_A!M107),4,0)+IF(ISNUMBER(Cek_A!M113),4,0)+IF(ISNUMBER(Cek_A!M119),4,0)+IF(ISNUMBER(Cek_A!M125),4,0)+IF(ISNUMBER(Cek_A!M133),4,0)+IF(ISNUMBER(Cek_A!M139),4,0)+IF(ISNUMBER(Cek_A!M145),4,0)+IF(ISNUMBER(Cek_A!M151),4,0)+IF(ISNUMBER(Cek_A!M157),4,0))=0,"",(IF(ISNUMBER(Cek_A!M5),Cek_A!M5*4,0)+IF(ISNUMBER(Cek_A!M11),Cek_A!M11*4,0)+IF(ISNUMBER(Cek_A!M17),Cek_A!M17*4,0)+IF(ISNUMBER(Cek_A!M23),Cek_A!M23*4,0)+IF(ISNUMBER(Cek_A!M29),Cek_A!M29*4,0)+IF(ISNUMBER(Cek_A!M37),Cek_A!M37*4,0)+IF(ISNUMBER(Cek_A!M43),Cek_A!M43*4,0)+IF(ISNUMBER(Cek_A!M49),Cek_A!M49*4,0)+IF(ISNUMBER(Cek_A!M55),Cek_A!M55*4,0)+IF(ISNUMBER(Cek_A!M61),Cek_A!M61*4,0)+IF(ISNUMBER(Cek_A!M69),Cek_A!M69*4,0)+IF(ISNUMBER(Cek_A!M75),Cek_A!M75*4,0)+IF(ISNUMBER(Cek_A!M81),Cek_A!M81*4,0)+IF(ISNUMBER(Cek_A!M87),Cek_A!M87*4,0)+IF(ISNUMBER(Cek_A!M93),Cek_A!M93*4,0)+IF(ISNUMBER(Cek_A!M101),Cek_A!M101*4,0)+IF(ISNUMBER(Cek_A!M107),Cek_A!M107*4,0)+IF(ISNUMBER(Cek_A!M113),Cek_A!M113*4,0)+IF(ISNUMBER(Cek_A!M119),Cek_A!M119*4,0)+IF(ISNUMBER(Cek_A!M125),Cek_A!M125*4,0)+IF(ISNUMBER(Cek_A!M133),Cek_A!M133*4,0)+IF(ISNUMBER(Cek_A!M139),Cek_A!M139*4,0)+IF(ISNUMBER(Cek_A!M145),Cek_A!M145*4,0)+IF(ISNUMBER(Cek_A!M151),Cek_A!M151*4,0)+IF(ISNUMBER(Cek_A!M157),Cek_A!M157*4,0))/(IF(ISNUMBER(Cek_A!M5),4,0)+IF(ISNUMBER(Cek_A!M11),4,0)+IF(ISNUMBER(Cek_A!M17),4,0)+IF(ISNUMBER(Cek_A!M23),4,0)+IF(ISNUMBER(Cek_A!M29),4,0)+IF(ISNUMBER(Cek_A!M37),4,0)+IF(ISNUMBER(Cek_A!M43),4,0)+IF(ISNUMBER(Cek_A!M49),4,0)+IF(ISNUMBER(Cek_A!M55),4,0)+IF(ISNUMBER(Cek_A!M61),4,0)+IF(ISNUMBER(Cek_A!M69),4,0)+IF(ISNUMBER(Cek_A!M75),4,0)+IF(ISNUMBER(Cek_A!M81),4,0)+IF(ISNUMBER(Cek_A!M87),4,0)+IF(ISNUMBER(Cek_A!M93),4,0)+IF(ISNUMBER(Cek_A!M101),4,0)+IF(ISNUMBER(Cek_A!M107),4,0)+IF(ISNUMBER(Cek_A!M113),4,0)+IF(ISNUMBER(Cek_A!M119),4,0)+IF(ISNUMBER(Cek_A!M125),4,0)+IF(ISNUMBER(Cek_A!M133),4,0)+IF(ISNUMBER(Cek_A!M139),4,0)+IF(ISNUMBER(Cek_A!M145),4,0)+IF(ISNUMBER(Cek_A!M151),4,0)+IF(ISNUMBER(Cek_A!M157),4,0)))</f>
        <v/>
      </c>
      <c r="N4" s="9" t="str">
        <f>IF((IF(ISNUMBER(Cek_A!N5),4,0)+IF(ISNUMBER(Cek_A!N11),4,0)+IF(ISNUMBER(Cek_A!N17),4,0)+IF(ISNUMBER(Cek_A!N23),4,0)+IF(ISNUMBER(Cek_A!N29),4,0)+IF(ISNUMBER(Cek_A!N37),4,0)+IF(ISNUMBER(Cek_A!N43),4,0)+IF(ISNUMBER(Cek_A!N49),4,0)+IF(ISNUMBER(Cek_A!N55),4,0)+IF(ISNUMBER(Cek_A!N61),4,0)+IF(ISNUMBER(Cek_A!N69),4,0)+IF(ISNUMBER(Cek_A!N75),4,0)+IF(ISNUMBER(Cek_A!N81),4,0)+IF(ISNUMBER(Cek_A!N87),4,0)+IF(ISNUMBER(Cek_A!N93),4,0)+IF(ISNUMBER(Cek_A!N101),4,0)+IF(ISNUMBER(Cek_A!N107),4,0)+IF(ISNUMBER(Cek_A!N113),4,0)+IF(ISNUMBER(Cek_A!N119),4,0)+IF(ISNUMBER(Cek_A!N125),4,0)+IF(ISNUMBER(Cek_A!N133),4,0)+IF(ISNUMBER(Cek_A!N139),4,0)+IF(ISNUMBER(Cek_A!N145),4,0)+IF(ISNUMBER(Cek_A!N151),4,0)+IF(ISNUMBER(Cek_A!N157),4,0))=0,"",(IF(ISNUMBER(Cek_A!N5),Cek_A!N5*4,0)+IF(ISNUMBER(Cek_A!N11),Cek_A!N11*4,0)+IF(ISNUMBER(Cek_A!N17),Cek_A!N17*4,0)+IF(ISNUMBER(Cek_A!N23),Cek_A!N23*4,0)+IF(ISNUMBER(Cek_A!N29),Cek_A!N29*4,0)+IF(ISNUMBER(Cek_A!N37),Cek_A!N37*4,0)+IF(ISNUMBER(Cek_A!N43),Cek_A!N43*4,0)+IF(ISNUMBER(Cek_A!N49),Cek_A!N49*4,0)+IF(ISNUMBER(Cek_A!N55),Cek_A!N55*4,0)+IF(ISNUMBER(Cek_A!N61),Cek_A!N61*4,0)+IF(ISNUMBER(Cek_A!N69),Cek_A!N69*4,0)+IF(ISNUMBER(Cek_A!N75),Cek_A!N75*4,0)+IF(ISNUMBER(Cek_A!N81),Cek_A!N81*4,0)+IF(ISNUMBER(Cek_A!N87),Cek_A!N87*4,0)+IF(ISNUMBER(Cek_A!N93),Cek_A!N93*4,0)+IF(ISNUMBER(Cek_A!N101),Cek_A!N101*4,0)+IF(ISNUMBER(Cek_A!N107),Cek_A!N107*4,0)+IF(ISNUMBER(Cek_A!N113),Cek_A!N113*4,0)+IF(ISNUMBER(Cek_A!N119),Cek_A!N119*4,0)+IF(ISNUMBER(Cek_A!N125),Cek_A!N125*4,0)+IF(ISNUMBER(Cek_A!N133),Cek_A!N133*4,0)+IF(ISNUMBER(Cek_A!N139),Cek_A!N139*4,0)+IF(ISNUMBER(Cek_A!N145),Cek_A!N145*4,0)+IF(ISNUMBER(Cek_A!N151),Cek_A!N151*4,0)+IF(ISNUMBER(Cek_A!N157),Cek_A!N157*4,0))/(IF(ISNUMBER(Cek_A!N5),4,0)+IF(ISNUMBER(Cek_A!N11),4,0)+IF(ISNUMBER(Cek_A!N17),4,0)+IF(ISNUMBER(Cek_A!N23),4,0)+IF(ISNUMBER(Cek_A!N29),4,0)+IF(ISNUMBER(Cek_A!N37),4,0)+IF(ISNUMBER(Cek_A!N43),4,0)+IF(ISNUMBER(Cek_A!N49),4,0)+IF(ISNUMBER(Cek_A!N55),4,0)+IF(ISNUMBER(Cek_A!N61),4,0)+IF(ISNUMBER(Cek_A!N69),4,0)+IF(ISNUMBER(Cek_A!N75),4,0)+IF(ISNUMBER(Cek_A!N81),4,0)+IF(ISNUMBER(Cek_A!N87),4,0)+IF(ISNUMBER(Cek_A!N93),4,0)+IF(ISNUMBER(Cek_A!N101),4,0)+IF(ISNUMBER(Cek_A!N107),4,0)+IF(ISNUMBER(Cek_A!N113),4,0)+IF(ISNUMBER(Cek_A!N119),4,0)+IF(ISNUMBER(Cek_A!N125),4,0)+IF(ISNUMBER(Cek_A!N133),4,0)+IF(ISNUMBER(Cek_A!N139),4,0)+IF(ISNUMBER(Cek_A!N145),4,0)+IF(ISNUMBER(Cek_A!N151),4,0)+IF(ISNUMBER(Cek_A!N157),4,0)))</f>
        <v/>
      </c>
      <c r="O4" s="9" t="str">
        <f>IF((IF(ISNUMBER(Cek_A!O5),4,0)+IF(ISNUMBER(Cek_A!O11),4,0)+IF(ISNUMBER(Cek_A!O17),4,0)+IF(ISNUMBER(Cek_A!O23),4,0)+IF(ISNUMBER(Cek_A!O29),4,0)+IF(ISNUMBER(Cek_A!O37),4,0)+IF(ISNUMBER(Cek_A!O43),4,0)+IF(ISNUMBER(Cek_A!O49),4,0)+IF(ISNUMBER(Cek_A!O55),4,0)+IF(ISNUMBER(Cek_A!O61),4,0)+IF(ISNUMBER(Cek_A!O69),4,0)+IF(ISNUMBER(Cek_A!O75),4,0)+IF(ISNUMBER(Cek_A!O81),4,0)+IF(ISNUMBER(Cek_A!O87),4,0)+IF(ISNUMBER(Cek_A!O93),4,0)+IF(ISNUMBER(Cek_A!O101),4,0)+IF(ISNUMBER(Cek_A!O107),4,0)+IF(ISNUMBER(Cek_A!O113),4,0)+IF(ISNUMBER(Cek_A!O119),4,0)+IF(ISNUMBER(Cek_A!O125),4,0)+IF(ISNUMBER(Cek_A!O133),4,0)+IF(ISNUMBER(Cek_A!O139),4,0)+IF(ISNUMBER(Cek_A!O145),4,0)+IF(ISNUMBER(Cek_A!O151),4,0)+IF(ISNUMBER(Cek_A!O157),4,0))=0,"",(IF(ISNUMBER(Cek_A!O5),Cek_A!O5*4,0)+IF(ISNUMBER(Cek_A!O11),Cek_A!O11*4,0)+IF(ISNUMBER(Cek_A!O17),Cek_A!O17*4,0)+IF(ISNUMBER(Cek_A!O23),Cek_A!O23*4,0)+IF(ISNUMBER(Cek_A!O29),Cek_A!O29*4,0)+IF(ISNUMBER(Cek_A!O37),Cek_A!O37*4,0)+IF(ISNUMBER(Cek_A!O43),Cek_A!O43*4,0)+IF(ISNUMBER(Cek_A!O49),Cek_A!O49*4,0)+IF(ISNUMBER(Cek_A!O55),Cek_A!O55*4,0)+IF(ISNUMBER(Cek_A!O61),Cek_A!O61*4,0)+IF(ISNUMBER(Cek_A!O69),Cek_A!O69*4,0)+IF(ISNUMBER(Cek_A!O75),Cek_A!O75*4,0)+IF(ISNUMBER(Cek_A!O81),Cek_A!O81*4,0)+IF(ISNUMBER(Cek_A!O87),Cek_A!O87*4,0)+IF(ISNUMBER(Cek_A!O93),Cek_A!O93*4,0)+IF(ISNUMBER(Cek_A!O101),Cek_A!O101*4,0)+IF(ISNUMBER(Cek_A!O107),Cek_A!O107*4,0)+IF(ISNUMBER(Cek_A!O113),Cek_A!O113*4,0)+IF(ISNUMBER(Cek_A!O119),Cek_A!O119*4,0)+IF(ISNUMBER(Cek_A!O125),Cek_A!O125*4,0)+IF(ISNUMBER(Cek_A!O133),Cek_A!O133*4,0)+IF(ISNUMBER(Cek_A!O139),Cek_A!O139*4,0)+IF(ISNUMBER(Cek_A!O145),Cek_A!O145*4,0)+IF(ISNUMBER(Cek_A!O151),Cek_A!O151*4,0)+IF(ISNUMBER(Cek_A!O157),Cek_A!O157*4,0))/(IF(ISNUMBER(Cek_A!O5),4,0)+IF(ISNUMBER(Cek_A!O11),4,0)+IF(ISNUMBER(Cek_A!O17),4,0)+IF(ISNUMBER(Cek_A!O23),4,0)+IF(ISNUMBER(Cek_A!O29),4,0)+IF(ISNUMBER(Cek_A!O37),4,0)+IF(ISNUMBER(Cek_A!O43),4,0)+IF(ISNUMBER(Cek_A!O49),4,0)+IF(ISNUMBER(Cek_A!O55),4,0)+IF(ISNUMBER(Cek_A!O61),4,0)+IF(ISNUMBER(Cek_A!O69),4,0)+IF(ISNUMBER(Cek_A!O75),4,0)+IF(ISNUMBER(Cek_A!O81),4,0)+IF(ISNUMBER(Cek_A!O87),4,0)+IF(ISNUMBER(Cek_A!O93),4,0)+IF(ISNUMBER(Cek_A!O101),4,0)+IF(ISNUMBER(Cek_A!O107),4,0)+IF(ISNUMBER(Cek_A!O113),4,0)+IF(ISNUMBER(Cek_A!O119),4,0)+IF(ISNUMBER(Cek_A!O125),4,0)+IF(ISNUMBER(Cek_A!O133),4,0)+IF(ISNUMBER(Cek_A!O139),4,0)+IF(ISNUMBER(Cek_A!O145),4,0)+IF(ISNUMBER(Cek_A!O151),4,0)+IF(ISNUMBER(Cek_A!O157),4,0)))</f>
        <v/>
      </c>
      <c r="P4" s="9" t="str">
        <f>IF((IF(ISNUMBER(Cek_A!P5),4,0)+IF(ISNUMBER(Cek_A!P11),4,0)+IF(ISNUMBER(Cek_A!P17),4,0)+IF(ISNUMBER(Cek_A!P23),4,0)+IF(ISNUMBER(Cek_A!P29),4,0)+IF(ISNUMBER(Cek_A!P37),4,0)+IF(ISNUMBER(Cek_A!P43),4,0)+IF(ISNUMBER(Cek_A!P49),4,0)+IF(ISNUMBER(Cek_A!P55),4,0)+IF(ISNUMBER(Cek_A!P61),4,0)+IF(ISNUMBER(Cek_A!P69),4,0)+IF(ISNUMBER(Cek_A!P75),4,0)+IF(ISNUMBER(Cek_A!P81),4,0)+IF(ISNUMBER(Cek_A!P87),4,0)+IF(ISNUMBER(Cek_A!P93),4,0)+IF(ISNUMBER(Cek_A!P101),4,0)+IF(ISNUMBER(Cek_A!P107),4,0)+IF(ISNUMBER(Cek_A!P113),4,0)+IF(ISNUMBER(Cek_A!P119),4,0)+IF(ISNUMBER(Cek_A!P125),4,0)+IF(ISNUMBER(Cek_A!P133),4,0)+IF(ISNUMBER(Cek_A!P139),4,0)+IF(ISNUMBER(Cek_A!P145),4,0)+IF(ISNUMBER(Cek_A!P151),4,0)+IF(ISNUMBER(Cek_A!P157),4,0))=0,"",(IF(ISNUMBER(Cek_A!P5),Cek_A!P5*4,0)+IF(ISNUMBER(Cek_A!P11),Cek_A!P11*4,0)+IF(ISNUMBER(Cek_A!P17),Cek_A!P17*4,0)+IF(ISNUMBER(Cek_A!P23),Cek_A!P23*4,0)+IF(ISNUMBER(Cek_A!P29),Cek_A!P29*4,0)+IF(ISNUMBER(Cek_A!P37),Cek_A!P37*4,0)+IF(ISNUMBER(Cek_A!P43),Cek_A!P43*4,0)+IF(ISNUMBER(Cek_A!P49),Cek_A!P49*4,0)+IF(ISNUMBER(Cek_A!P55),Cek_A!P55*4,0)+IF(ISNUMBER(Cek_A!P61),Cek_A!P61*4,0)+IF(ISNUMBER(Cek_A!P69),Cek_A!P69*4,0)+IF(ISNUMBER(Cek_A!P75),Cek_A!P75*4,0)+IF(ISNUMBER(Cek_A!P81),Cek_A!P81*4,0)+IF(ISNUMBER(Cek_A!P87),Cek_A!P87*4,0)+IF(ISNUMBER(Cek_A!P93),Cek_A!P93*4,0)+IF(ISNUMBER(Cek_A!P101),Cek_A!P101*4,0)+IF(ISNUMBER(Cek_A!P107),Cek_A!P107*4,0)+IF(ISNUMBER(Cek_A!P113),Cek_A!P113*4,0)+IF(ISNUMBER(Cek_A!P119),Cek_A!P119*4,0)+IF(ISNUMBER(Cek_A!P125),Cek_A!P125*4,0)+IF(ISNUMBER(Cek_A!P133),Cek_A!P133*4,0)+IF(ISNUMBER(Cek_A!P139),Cek_A!P139*4,0)+IF(ISNUMBER(Cek_A!P145),Cek_A!P145*4,0)+IF(ISNUMBER(Cek_A!P151),Cek_A!P151*4,0)+IF(ISNUMBER(Cek_A!P157),Cek_A!P157*4,0))/(IF(ISNUMBER(Cek_A!P5),4,0)+IF(ISNUMBER(Cek_A!P11),4,0)+IF(ISNUMBER(Cek_A!P17),4,0)+IF(ISNUMBER(Cek_A!P23),4,0)+IF(ISNUMBER(Cek_A!P29),4,0)+IF(ISNUMBER(Cek_A!P37),4,0)+IF(ISNUMBER(Cek_A!P43),4,0)+IF(ISNUMBER(Cek_A!P49),4,0)+IF(ISNUMBER(Cek_A!P55),4,0)+IF(ISNUMBER(Cek_A!P61),4,0)+IF(ISNUMBER(Cek_A!P69),4,0)+IF(ISNUMBER(Cek_A!P75),4,0)+IF(ISNUMBER(Cek_A!P81),4,0)+IF(ISNUMBER(Cek_A!P87),4,0)+IF(ISNUMBER(Cek_A!P93),4,0)+IF(ISNUMBER(Cek_A!P101),4,0)+IF(ISNUMBER(Cek_A!P107),4,0)+IF(ISNUMBER(Cek_A!P113),4,0)+IF(ISNUMBER(Cek_A!P119),4,0)+IF(ISNUMBER(Cek_A!P125),4,0)+IF(ISNUMBER(Cek_A!P133),4,0)+IF(ISNUMBER(Cek_A!P139),4,0)+IF(ISNUMBER(Cek_A!P145),4,0)+IF(ISNUMBER(Cek_A!P151),4,0)+IF(ISNUMBER(Cek_A!P157),4,0)))</f>
        <v/>
      </c>
      <c r="Q4" s="9" t="str">
        <f>IF((IF(ISNUMBER(Cek_A!Q5),4,0)+IF(ISNUMBER(Cek_A!Q11),4,0)+IF(ISNUMBER(Cek_A!Q17),4,0)+IF(ISNUMBER(Cek_A!Q23),4,0)+IF(ISNUMBER(Cek_A!Q29),4,0)+IF(ISNUMBER(Cek_A!Q37),4,0)+IF(ISNUMBER(Cek_A!Q43),4,0)+IF(ISNUMBER(Cek_A!Q49),4,0)+IF(ISNUMBER(Cek_A!Q55),4,0)+IF(ISNUMBER(Cek_A!Q61),4,0)+IF(ISNUMBER(Cek_A!Q69),4,0)+IF(ISNUMBER(Cek_A!Q75),4,0)+IF(ISNUMBER(Cek_A!Q81),4,0)+IF(ISNUMBER(Cek_A!Q87),4,0)+IF(ISNUMBER(Cek_A!Q93),4,0)+IF(ISNUMBER(Cek_A!Q101),4,0)+IF(ISNUMBER(Cek_A!Q107),4,0)+IF(ISNUMBER(Cek_A!Q113),4,0)+IF(ISNUMBER(Cek_A!Q119),4,0)+IF(ISNUMBER(Cek_A!Q125),4,0)+IF(ISNUMBER(Cek_A!Q133),4,0)+IF(ISNUMBER(Cek_A!Q139),4,0)+IF(ISNUMBER(Cek_A!Q145),4,0)+IF(ISNUMBER(Cek_A!Q151),4,0)+IF(ISNUMBER(Cek_A!Q157),4,0))=0,"",(IF(ISNUMBER(Cek_A!Q5),Cek_A!Q5*4,0)+IF(ISNUMBER(Cek_A!Q11),Cek_A!Q11*4,0)+IF(ISNUMBER(Cek_A!Q17),Cek_A!Q17*4,0)+IF(ISNUMBER(Cek_A!Q23),Cek_A!Q23*4,0)+IF(ISNUMBER(Cek_A!Q29),Cek_A!Q29*4,0)+IF(ISNUMBER(Cek_A!Q37),Cek_A!Q37*4,0)+IF(ISNUMBER(Cek_A!Q43),Cek_A!Q43*4,0)+IF(ISNUMBER(Cek_A!Q49),Cek_A!Q49*4,0)+IF(ISNUMBER(Cek_A!Q55),Cek_A!Q55*4,0)+IF(ISNUMBER(Cek_A!Q61),Cek_A!Q61*4,0)+IF(ISNUMBER(Cek_A!Q69),Cek_A!Q69*4,0)+IF(ISNUMBER(Cek_A!Q75),Cek_A!Q75*4,0)+IF(ISNUMBER(Cek_A!Q81),Cek_A!Q81*4,0)+IF(ISNUMBER(Cek_A!Q87),Cek_A!Q87*4,0)+IF(ISNUMBER(Cek_A!Q93),Cek_A!Q93*4,0)+IF(ISNUMBER(Cek_A!Q101),Cek_A!Q101*4,0)+IF(ISNUMBER(Cek_A!Q107),Cek_A!Q107*4,0)+IF(ISNUMBER(Cek_A!Q113),Cek_A!Q113*4,0)+IF(ISNUMBER(Cek_A!Q119),Cek_A!Q119*4,0)+IF(ISNUMBER(Cek_A!Q125),Cek_A!Q125*4,0)+IF(ISNUMBER(Cek_A!Q133),Cek_A!Q133*4,0)+IF(ISNUMBER(Cek_A!Q139),Cek_A!Q139*4,0)+IF(ISNUMBER(Cek_A!Q145),Cek_A!Q145*4,0)+IF(ISNUMBER(Cek_A!Q151),Cek_A!Q151*4,0)+IF(ISNUMBER(Cek_A!Q157),Cek_A!Q157*4,0))/(IF(ISNUMBER(Cek_A!Q5),4,0)+IF(ISNUMBER(Cek_A!Q11),4,0)+IF(ISNUMBER(Cek_A!Q17),4,0)+IF(ISNUMBER(Cek_A!Q23),4,0)+IF(ISNUMBER(Cek_A!Q29),4,0)+IF(ISNUMBER(Cek_A!Q37),4,0)+IF(ISNUMBER(Cek_A!Q43),4,0)+IF(ISNUMBER(Cek_A!Q49),4,0)+IF(ISNUMBER(Cek_A!Q55),4,0)+IF(ISNUMBER(Cek_A!Q61),4,0)+IF(ISNUMBER(Cek_A!Q69),4,0)+IF(ISNUMBER(Cek_A!Q75),4,0)+IF(ISNUMBER(Cek_A!Q81),4,0)+IF(ISNUMBER(Cek_A!Q87),4,0)+IF(ISNUMBER(Cek_A!Q93),4,0)+IF(ISNUMBER(Cek_A!Q101),4,0)+IF(ISNUMBER(Cek_A!Q107),4,0)+IF(ISNUMBER(Cek_A!Q113),4,0)+IF(ISNUMBER(Cek_A!Q119),4,0)+IF(ISNUMBER(Cek_A!Q125),4,0)+IF(ISNUMBER(Cek_A!Q133),4,0)+IF(ISNUMBER(Cek_A!Q139),4,0)+IF(ISNUMBER(Cek_A!Q145),4,0)+IF(ISNUMBER(Cek_A!Q151),4,0)+IF(ISNUMBER(Cek_A!Q157),4,0)))</f>
        <v/>
      </c>
      <c r="R4" s="9" t="str">
        <f>IF((IF(ISNUMBER(Cek_A!R5),4,0)+IF(ISNUMBER(Cek_A!R11),4,0)+IF(ISNUMBER(Cek_A!R17),4,0)+IF(ISNUMBER(Cek_A!R23),4,0)+IF(ISNUMBER(Cek_A!R29),4,0)+IF(ISNUMBER(Cek_A!R37),4,0)+IF(ISNUMBER(Cek_A!R43),4,0)+IF(ISNUMBER(Cek_A!R49),4,0)+IF(ISNUMBER(Cek_A!R55),4,0)+IF(ISNUMBER(Cek_A!R61),4,0)+IF(ISNUMBER(Cek_A!R69),4,0)+IF(ISNUMBER(Cek_A!R75),4,0)+IF(ISNUMBER(Cek_A!R81),4,0)+IF(ISNUMBER(Cek_A!R87),4,0)+IF(ISNUMBER(Cek_A!R93),4,0)+IF(ISNUMBER(Cek_A!R101),4,0)+IF(ISNUMBER(Cek_A!R107),4,0)+IF(ISNUMBER(Cek_A!R113),4,0)+IF(ISNUMBER(Cek_A!R119),4,0)+IF(ISNUMBER(Cek_A!R125),4,0)+IF(ISNUMBER(Cek_A!R133),4,0)+IF(ISNUMBER(Cek_A!R139),4,0)+IF(ISNUMBER(Cek_A!R145),4,0)+IF(ISNUMBER(Cek_A!R151),4,0)+IF(ISNUMBER(Cek_A!R157),4,0))=0,"",(IF(ISNUMBER(Cek_A!R5),Cek_A!R5*4,0)+IF(ISNUMBER(Cek_A!R11),Cek_A!R11*4,0)+IF(ISNUMBER(Cek_A!R17),Cek_A!R17*4,0)+IF(ISNUMBER(Cek_A!R23),Cek_A!R23*4,0)+IF(ISNUMBER(Cek_A!R29),Cek_A!R29*4,0)+IF(ISNUMBER(Cek_A!R37),Cek_A!R37*4,0)+IF(ISNUMBER(Cek_A!R43),Cek_A!R43*4,0)+IF(ISNUMBER(Cek_A!R49),Cek_A!R49*4,0)+IF(ISNUMBER(Cek_A!R55),Cek_A!R55*4,0)+IF(ISNUMBER(Cek_A!R61),Cek_A!R61*4,0)+IF(ISNUMBER(Cek_A!R69),Cek_A!R69*4,0)+IF(ISNUMBER(Cek_A!R75),Cek_A!R75*4,0)+IF(ISNUMBER(Cek_A!R81),Cek_A!R81*4,0)+IF(ISNUMBER(Cek_A!R87),Cek_A!R87*4,0)+IF(ISNUMBER(Cek_A!R93),Cek_A!R93*4,0)+IF(ISNUMBER(Cek_A!R101),Cek_A!R101*4,0)+IF(ISNUMBER(Cek_A!R107),Cek_A!R107*4,0)+IF(ISNUMBER(Cek_A!R113),Cek_A!R113*4,0)+IF(ISNUMBER(Cek_A!R119),Cek_A!R119*4,0)+IF(ISNUMBER(Cek_A!R125),Cek_A!R125*4,0)+IF(ISNUMBER(Cek_A!R133),Cek_A!R133*4,0)+IF(ISNUMBER(Cek_A!R139),Cek_A!R139*4,0)+IF(ISNUMBER(Cek_A!R145),Cek_A!R145*4,0)+IF(ISNUMBER(Cek_A!R151),Cek_A!R151*4,0)+IF(ISNUMBER(Cek_A!R157),Cek_A!R157*4,0))/(IF(ISNUMBER(Cek_A!R5),4,0)+IF(ISNUMBER(Cek_A!R11),4,0)+IF(ISNUMBER(Cek_A!R17),4,0)+IF(ISNUMBER(Cek_A!R23),4,0)+IF(ISNUMBER(Cek_A!R29),4,0)+IF(ISNUMBER(Cek_A!R37),4,0)+IF(ISNUMBER(Cek_A!R43),4,0)+IF(ISNUMBER(Cek_A!R49),4,0)+IF(ISNUMBER(Cek_A!R55),4,0)+IF(ISNUMBER(Cek_A!R61),4,0)+IF(ISNUMBER(Cek_A!R69),4,0)+IF(ISNUMBER(Cek_A!R75),4,0)+IF(ISNUMBER(Cek_A!R81),4,0)+IF(ISNUMBER(Cek_A!R87),4,0)+IF(ISNUMBER(Cek_A!R93),4,0)+IF(ISNUMBER(Cek_A!R101),4,0)+IF(ISNUMBER(Cek_A!R107),4,0)+IF(ISNUMBER(Cek_A!R113),4,0)+IF(ISNUMBER(Cek_A!R119),4,0)+IF(ISNUMBER(Cek_A!R125),4,0)+IF(ISNUMBER(Cek_A!R133),4,0)+IF(ISNUMBER(Cek_A!R139),4,0)+IF(ISNUMBER(Cek_A!R145),4,0)+IF(ISNUMBER(Cek_A!R151),4,0)+IF(ISNUMBER(Cek_A!R157),4,0)))</f>
        <v/>
      </c>
      <c r="S4" s="9" t="str">
        <f>IF((IF(ISNUMBER(Cek_A!S5),4,0)+IF(ISNUMBER(Cek_A!S11),4,0)+IF(ISNUMBER(Cek_A!S17),4,0)+IF(ISNUMBER(Cek_A!S23),4,0)+IF(ISNUMBER(Cek_A!S29),4,0)+IF(ISNUMBER(Cek_A!S37),4,0)+IF(ISNUMBER(Cek_A!S43),4,0)+IF(ISNUMBER(Cek_A!S49),4,0)+IF(ISNUMBER(Cek_A!S55),4,0)+IF(ISNUMBER(Cek_A!S61),4,0)+IF(ISNUMBER(Cek_A!S69),4,0)+IF(ISNUMBER(Cek_A!S75),4,0)+IF(ISNUMBER(Cek_A!S81),4,0)+IF(ISNUMBER(Cek_A!S87),4,0)+IF(ISNUMBER(Cek_A!S93),4,0)+IF(ISNUMBER(Cek_A!S101),4,0)+IF(ISNUMBER(Cek_A!S107),4,0)+IF(ISNUMBER(Cek_A!S113),4,0)+IF(ISNUMBER(Cek_A!S119),4,0)+IF(ISNUMBER(Cek_A!S125),4,0)+IF(ISNUMBER(Cek_A!S133),4,0)+IF(ISNUMBER(Cek_A!S139),4,0)+IF(ISNUMBER(Cek_A!S145),4,0)+IF(ISNUMBER(Cek_A!S151),4,0)+IF(ISNUMBER(Cek_A!S157),4,0))=0,"",(IF(ISNUMBER(Cek_A!S5),Cek_A!S5*4,0)+IF(ISNUMBER(Cek_A!S11),Cek_A!S11*4,0)+IF(ISNUMBER(Cek_A!S17),Cek_A!S17*4,0)+IF(ISNUMBER(Cek_A!S23),Cek_A!S23*4,0)+IF(ISNUMBER(Cek_A!S29),Cek_A!S29*4,0)+IF(ISNUMBER(Cek_A!S37),Cek_A!S37*4,0)+IF(ISNUMBER(Cek_A!S43),Cek_A!S43*4,0)+IF(ISNUMBER(Cek_A!S49),Cek_A!S49*4,0)+IF(ISNUMBER(Cek_A!S55),Cek_A!S55*4,0)+IF(ISNUMBER(Cek_A!S61),Cek_A!S61*4,0)+IF(ISNUMBER(Cek_A!S69),Cek_A!S69*4,0)+IF(ISNUMBER(Cek_A!S75),Cek_A!S75*4,0)+IF(ISNUMBER(Cek_A!S81),Cek_A!S81*4,0)+IF(ISNUMBER(Cek_A!S87),Cek_A!S87*4,0)+IF(ISNUMBER(Cek_A!S93),Cek_A!S93*4,0)+IF(ISNUMBER(Cek_A!S101),Cek_A!S101*4,0)+IF(ISNUMBER(Cek_A!S107),Cek_A!S107*4,0)+IF(ISNUMBER(Cek_A!S113),Cek_A!S113*4,0)+IF(ISNUMBER(Cek_A!S119),Cek_A!S119*4,0)+IF(ISNUMBER(Cek_A!S125),Cek_A!S125*4,0)+IF(ISNUMBER(Cek_A!S133),Cek_A!S133*4,0)+IF(ISNUMBER(Cek_A!S139),Cek_A!S139*4,0)+IF(ISNUMBER(Cek_A!S145),Cek_A!S145*4,0)+IF(ISNUMBER(Cek_A!S151),Cek_A!S151*4,0)+IF(ISNUMBER(Cek_A!S157),Cek_A!S157*4,0))/(IF(ISNUMBER(Cek_A!S5),4,0)+IF(ISNUMBER(Cek_A!S11),4,0)+IF(ISNUMBER(Cek_A!S17),4,0)+IF(ISNUMBER(Cek_A!S23),4,0)+IF(ISNUMBER(Cek_A!S29),4,0)+IF(ISNUMBER(Cek_A!S37),4,0)+IF(ISNUMBER(Cek_A!S43),4,0)+IF(ISNUMBER(Cek_A!S49),4,0)+IF(ISNUMBER(Cek_A!S55),4,0)+IF(ISNUMBER(Cek_A!S61),4,0)+IF(ISNUMBER(Cek_A!S69),4,0)+IF(ISNUMBER(Cek_A!S75),4,0)+IF(ISNUMBER(Cek_A!S81),4,0)+IF(ISNUMBER(Cek_A!S87),4,0)+IF(ISNUMBER(Cek_A!S93),4,0)+IF(ISNUMBER(Cek_A!S101),4,0)+IF(ISNUMBER(Cek_A!S107),4,0)+IF(ISNUMBER(Cek_A!S113),4,0)+IF(ISNUMBER(Cek_A!S119),4,0)+IF(ISNUMBER(Cek_A!S125),4,0)+IF(ISNUMBER(Cek_A!S133),4,0)+IF(ISNUMBER(Cek_A!S139),4,0)+IF(ISNUMBER(Cek_A!S145),4,0)+IF(ISNUMBER(Cek_A!S151),4,0)+IF(ISNUMBER(Cek_A!S157),4,0)))</f>
        <v/>
      </c>
      <c r="T4" s="9" t="str">
        <f>IF((IF(ISNUMBER(Cek_A!T5),4,0)+IF(ISNUMBER(Cek_A!T11),4,0)+IF(ISNUMBER(Cek_A!T17),4,0)+IF(ISNUMBER(Cek_A!T23),4,0)+IF(ISNUMBER(Cek_A!T29),4,0)+IF(ISNUMBER(Cek_A!T37),4,0)+IF(ISNUMBER(Cek_A!T43),4,0)+IF(ISNUMBER(Cek_A!T49),4,0)+IF(ISNUMBER(Cek_A!T55),4,0)+IF(ISNUMBER(Cek_A!T61),4,0)+IF(ISNUMBER(Cek_A!T69),4,0)+IF(ISNUMBER(Cek_A!T75),4,0)+IF(ISNUMBER(Cek_A!T81),4,0)+IF(ISNUMBER(Cek_A!T87),4,0)+IF(ISNUMBER(Cek_A!T93),4,0)+IF(ISNUMBER(Cek_A!T101),4,0)+IF(ISNUMBER(Cek_A!T107),4,0)+IF(ISNUMBER(Cek_A!T113),4,0)+IF(ISNUMBER(Cek_A!T119),4,0)+IF(ISNUMBER(Cek_A!T125),4,0)+IF(ISNUMBER(Cek_A!T133),4,0)+IF(ISNUMBER(Cek_A!T139),4,0)+IF(ISNUMBER(Cek_A!T145),4,0)+IF(ISNUMBER(Cek_A!T151),4,0)+IF(ISNUMBER(Cek_A!T157),4,0))=0,"",(IF(ISNUMBER(Cek_A!T5),Cek_A!T5*4,0)+IF(ISNUMBER(Cek_A!T11),Cek_A!T11*4,0)+IF(ISNUMBER(Cek_A!T17),Cek_A!T17*4,0)+IF(ISNUMBER(Cek_A!T23),Cek_A!T23*4,0)+IF(ISNUMBER(Cek_A!T29),Cek_A!T29*4,0)+IF(ISNUMBER(Cek_A!T37),Cek_A!T37*4,0)+IF(ISNUMBER(Cek_A!T43),Cek_A!T43*4,0)+IF(ISNUMBER(Cek_A!T49),Cek_A!T49*4,0)+IF(ISNUMBER(Cek_A!T55),Cek_A!T55*4,0)+IF(ISNUMBER(Cek_A!T61),Cek_A!T61*4,0)+IF(ISNUMBER(Cek_A!T69),Cek_A!T69*4,0)+IF(ISNUMBER(Cek_A!T75),Cek_A!T75*4,0)+IF(ISNUMBER(Cek_A!T81),Cek_A!T81*4,0)+IF(ISNUMBER(Cek_A!T87),Cek_A!T87*4,0)+IF(ISNUMBER(Cek_A!T93),Cek_A!T93*4,0)+IF(ISNUMBER(Cek_A!T101),Cek_A!T101*4,0)+IF(ISNUMBER(Cek_A!T107),Cek_A!T107*4,0)+IF(ISNUMBER(Cek_A!T113),Cek_A!T113*4,0)+IF(ISNUMBER(Cek_A!T119),Cek_A!T119*4,0)+IF(ISNUMBER(Cek_A!T125),Cek_A!T125*4,0)+IF(ISNUMBER(Cek_A!T133),Cek_A!T133*4,0)+IF(ISNUMBER(Cek_A!T139),Cek_A!T139*4,0)+IF(ISNUMBER(Cek_A!T145),Cek_A!T145*4,0)+IF(ISNUMBER(Cek_A!T151),Cek_A!T151*4,0)+IF(ISNUMBER(Cek_A!T157),Cek_A!T157*4,0))/(IF(ISNUMBER(Cek_A!T5),4,0)+IF(ISNUMBER(Cek_A!T11),4,0)+IF(ISNUMBER(Cek_A!T17),4,0)+IF(ISNUMBER(Cek_A!T23),4,0)+IF(ISNUMBER(Cek_A!T29),4,0)+IF(ISNUMBER(Cek_A!T37),4,0)+IF(ISNUMBER(Cek_A!T43),4,0)+IF(ISNUMBER(Cek_A!T49),4,0)+IF(ISNUMBER(Cek_A!T55),4,0)+IF(ISNUMBER(Cek_A!T61),4,0)+IF(ISNUMBER(Cek_A!T69),4,0)+IF(ISNUMBER(Cek_A!T75),4,0)+IF(ISNUMBER(Cek_A!T81),4,0)+IF(ISNUMBER(Cek_A!T87),4,0)+IF(ISNUMBER(Cek_A!T93),4,0)+IF(ISNUMBER(Cek_A!T101),4,0)+IF(ISNUMBER(Cek_A!T107),4,0)+IF(ISNUMBER(Cek_A!T113),4,0)+IF(ISNUMBER(Cek_A!T119),4,0)+IF(ISNUMBER(Cek_A!T125),4,0)+IF(ISNUMBER(Cek_A!T133),4,0)+IF(ISNUMBER(Cek_A!T139),4,0)+IF(ISNUMBER(Cek_A!T145),4,0)+IF(ISNUMBER(Cek_A!T151),4,0)+IF(ISNUMBER(Cek_A!T157),4,0)))</f>
        <v/>
      </c>
      <c r="U4" s="9" t="str">
        <f>IF((IF(ISNUMBER(Cek_A!U5),4,0)+IF(ISNUMBER(Cek_A!U11),4,0)+IF(ISNUMBER(Cek_A!U17),4,0)+IF(ISNUMBER(Cek_A!U23),4,0)+IF(ISNUMBER(Cek_A!U29),4,0)+IF(ISNUMBER(Cek_A!U37),4,0)+IF(ISNUMBER(Cek_A!U43),4,0)+IF(ISNUMBER(Cek_A!U49),4,0)+IF(ISNUMBER(Cek_A!U55),4,0)+IF(ISNUMBER(Cek_A!U61),4,0)+IF(ISNUMBER(Cek_A!U69),4,0)+IF(ISNUMBER(Cek_A!U75),4,0)+IF(ISNUMBER(Cek_A!U81),4,0)+IF(ISNUMBER(Cek_A!U87),4,0)+IF(ISNUMBER(Cek_A!U93),4,0)+IF(ISNUMBER(Cek_A!U101),4,0)+IF(ISNUMBER(Cek_A!U107),4,0)+IF(ISNUMBER(Cek_A!U113),4,0)+IF(ISNUMBER(Cek_A!U119),4,0)+IF(ISNUMBER(Cek_A!U125),4,0)+IF(ISNUMBER(Cek_A!U133),4,0)+IF(ISNUMBER(Cek_A!U139),4,0)+IF(ISNUMBER(Cek_A!U145),4,0)+IF(ISNUMBER(Cek_A!U151),4,0)+IF(ISNUMBER(Cek_A!U157),4,0))=0,"",(IF(ISNUMBER(Cek_A!U5),Cek_A!U5*4,0)+IF(ISNUMBER(Cek_A!U11),Cek_A!U11*4,0)+IF(ISNUMBER(Cek_A!U17),Cek_A!U17*4,0)+IF(ISNUMBER(Cek_A!U23),Cek_A!U23*4,0)+IF(ISNUMBER(Cek_A!U29),Cek_A!U29*4,0)+IF(ISNUMBER(Cek_A!U37),Cek_A!U37*4,0)+IF(ISNUMBER(Cek_A!U43),Cek_A!U43*4,0)+IF(ISNUMBER(Cek_A!U49),Cek_A!U49*4,0)+IF(ISNUMBER(Cek_A!U55),Cek_A!U55*4,0)+IF(ISNUMBER(Cek_A!U61),Cek_A!U61*4,0)+IF(ISNUMBER(Cek_A!U69),Cek_A!U69*4,0)+IF(ISNUMBER(Cek_A!U75),Cek_A!U75*4,0)+IF(ISNUMBER(Cek_A!U81),Cek_A!U81*4,0)+IF(ISNUMBER(Cek_A!U87),Cek_A!U87*4,0)+IF(ISNUMBER(Cek_A!U93),Cek_A!U93*4,0)+IF(ISNUMBER(Cek_A!U101),Cek_A!U101*4,0)+IF(ISNUMBER(Cek_A!U107),Cek_A!U107*4,0)+IF(ISNUMBER(Cek_A!U113),Cek_A!U113*4,0)+IF(ISNUMBER(Cek_A!U119),Cek_A!U119*4,0)+IF(ISNUMBER(Cek_A!U125),Cek_A!U125*4,0)+IF(ISNUMBER(Cek_A!U133),Cek_A!U133*4,0)+IF(ISNUMBER(Cek_A!U139),Cek_A!U139*4,0)+IF(ISNUMBER(Cek_A!U145),Cek_A!U145*4,0)+IF(ISNUMBER(Cek_A!U151),Cek_A!U151*4,0)+IF(ISNUMBER(Cek_A!U157),Cek_A!U157*4,0))/(IF(ISNUMBER(Cek_A!U5),4,0)+IF(ISNUMBER(Cek_A!U11),4,0)+IF(ISNUMBER(Cek_A!U17),4,0)+IF(ISNUMBER(Cek_A!U23),4,0)+IF(ISNUMBER(Cek_A!U29),4,0)+IF(ISNUMBER(Cek_A!U37),4,0)+IF(ISNUMBER(Cek_A!U43),4,0)+IF(ISNUMBER(Cek_A!U49),4,0)+IF(ISNUMBER(Cek_A!U55),4,0)+IF(ISNUMBER(Cek_A!U61),4,0)+IF(ISNUMBER(Cek_A!U69),4,0)+IF(ISNUMBER(Cek_A!U75),4,0)+IF(ISNUMBER(Cek_A!U81),4,0)+IF(ISNUMBER(Cek_A!U87),4,0)+IF(ISNUMBER(Cek_A!U93),4,0)+IF(ISNUMBER(Cek_A!U101),4,0)+IF(ISNUMBER(Cek_A!U107),4,0)+IF(ISNUMBER(Cek_A!U113),4,0)+IF(ISNUMBER(Cek_A!U119),4,0)+IF(ISNUMBER(Cek_A!U125),4,0)+IF(ISNUMBER(Cek_A!U133),4,0)+IF(ISNUMBER(Cek_A!U139),4,0)+IF(ISNUMBER(Cek_A!U145),4,0)+IF(ISNUMBER(Cek_A!U151),4,0)+IF(ISNUMBER(Cek_A!U157),4,0)))</f>
        <v/>
      </c>
      <c r="V4" s="9" t="str">
        <f>IF((IF(ISNUMBER(Cek_A!V5),4,0)+IF(ISNUMBER(Cek_A!V11),4,0)+IF(ISNUMBER(Cek_A!V17),4,0)+IF(ISNUMBER(Cek_A!V23),4,0)+IF(ISNUMBER(Cek_A!V29),4,0)+IF(ISNUMBER(Cek_A!V37),4,0)+IF(ISNUMBER(Cek_A!V43),4,0)+IF(ISNUMBER(Cek_A!V49),4,0)+IF(ISNUMBER(Cek_A!V55),4,0)+IF(ISNUMBER(Cek_A!V61),4,0)+IF(ISNUMBER(Cek_A!V69),4,0)+IF(ISNUMBER(Cek_A!V75),4,0)+IF(ISNUMBER(Cek_A!V81),4,0)+IF(ISNUMBER(Cek_A!V87),4,0)+IF(ISNUMBER(Cek_A!V93),4,0)+IF(ISNUMBER(Cek_A!V101),4,0)+IF(ISNUMBER(Cek_A!V107),4,0)+IF(ISNUMBER(Cek_A!V113),4,0)+IF(ISNUMBER(Cek_A!V119),4,0)+IF(ISNUMBER(Cek_A!V125),4,0)+IF(ISNUMBER(Cek_A!V133),4,0)+IF(ISNUMBER(Cek_A!V139),4,0)+IF(ISNUMBER(Cek_A!V145),4,0)+IF(ISNUMBER(Cek_A!V151),4,0)+IF(ISNUMBER(Cek_A!V157),4,0))=0,"",(IF(ISNUMBER(Cek_A!V5),Cek_A!V5*4,0)+IF(ISNUMBER(Cek_A!V11),Cek_A!V11*4,0)+IF(ISNUMBER(Cek_A!V17),Cek_A!V17*4,0)+IF(ISNUMBER(Cek_A!V23),Cek_A!V23*4,0)+IF(ISNUMBER(Cek_A!V29),Cek_A!V29*4,0)+IF(ISNUMBER(Cek_A!V37),Cek_A!V37*4,0)+IF(ISNUMBER(Cek_A!V43),Cek_A!V43*4,0)+IF(ISNUMBER(Cek_A!V49),Cek_A!V49*4,0)+IF(ISNUMBER(Cek_A!V55),Cek_A!V55*4,0)+IF(ISNUMBER(Cek_A!V61),Cek_A!V61*4,0)+IF(ISNUMBER(Cek_A!V69),Cek_A!V69*4,0)+IF(ISNUMBER(Cek_A!V75),Cek_A!V75*4,0)+IF(ISNUMBER(Cek_A!V81),Cek_A!V81*4,0)+IF(ISNUMBER(Cek_A!V87),Cek_A!V87*4,0)+IF(ISNUMBER(Cek_A!V93),Cek_A!V93*4,0)+IF(ISNUMBER(Cek_A!V101),Cek_A!V101*4,0)+IF(ISNUMBER(Cek_A!V107),Cek_A!V107*4,0)+IF(ISNUMBER(Cek_A!V113),Cek_A!V113*4,0)+IF(ISNUMBER(Cek_A!V119),Cek_A!V119*4,0)+IF(ISNUMBER(Cek_A!V125),Cek_A!V125*4,0)+IF(ISNUMBER(Cek_A!V133),Cek_A!V133*4,0)+IF(ISNUMBER(Cek_A!V139),Cek_A!V139*4,0)+IF(ISNUMBER(Cek_A!V145),Cek_A!V145*4,0)+IF(ISNUMBER(Cek_A!V151),Cek_A!V151*4,0)+IF(ISNUMBER(Cek_A!V157),Cek_A!V157*4,0))/(IF(ISNUMBER(Cek_A!V5),4,0)+IF(ISNUMBER(Cek_A!V11),4,0)+IF(ISNUMBER(Cek_A!V17),4,0)+IF(ISNUMBER(Cek_A!V23),4,0)+IF(ISNUMBER(Cek_A!V29),4,0)+IF(ISNUMBER(Cek_A!V37),4,0)+IF(ISNUMBER(Cek_A!V43),4,0)+IF(ISNUMBER(Cek_A!V49),4,0)+IF(ISNUMBER(Cek_A!V55),4,0)+IF(ISNUMBER(Cek_A!V61),4,0)+IF(ISNUMBER(Cek_A!V69),4,0)+IF(ISNUMBER(Cek_A!V75),4,0)+IF(ISNUMBER(Cek_A!V81),4,0)+IF(ISNUMBER(Cek_A!V87),4,0)+IF(ISNUMBER(Cek_A!V93),4,0)+IF(ISNUMBER(Cek_A!V101),4,0)+IF(ISNUMBER(Cek_A!V107),4,0)+IF(ISNUMBER(Cek_A!V113),4,0)+IF(ISNUMBER(Cek_A!V119),4,0)+IF(ISNUMBER(Cek_A!V125),4,0)+IF(ISNUMBER(Cek_A!V133),4,0)+IF(ISNUMBER(Cek_A!V139),4,0)+IF(ISNUMBER(Cek_A!V145),4,0)+IF(ISNUMBER(Cek_A!V151),4,0)+IF(ISNUMBER(Cek_A!V157),4,0)))</f>
        <v/>
      </c>
      <c r="W4" s="9" t="str">
        <f>IF((IF(ISNUMBER(Cek_A!W5),4,0)+IF(ISNUMBER(Cek_A!W11),4,0)+IF(ISNUMBER(Cek_A!W17),4,0)+IF(ISNUMBER(Cek_A!W23),4,0)+IF(ISNUMBER(Cek_A!W29),4,0)+IF(ISNUMBER(Cek_A!W37),4,0)+IF(ISNUMBER(Cek_A!W43),4,0)+IF(ISNUMBER(Cek_A!W49),4,0)+IF(ISNUMBER(Cek_A!W55),4,0)+IF(ISNUMBER(Cek_A!W61),4,0)+IF(ISNUMBER(Cek_A!W69),4,0)+IF(ISNUMBER(Cek_A!W75),4,0)+IF(ISNUMBER(Cek_A!W81),4,0)+IF(ISNUMBER(Cek_A!W87),4,0)+IF(ISNUMBER(Cek_A!W93),4,0)+IF(ISNUMBER(Cek_A!W101),4,0)+IF(ISNUMBER(Cek_A!W107),4,0)+IF(ISNUMBER(Cek_A!W113),4,0)+IF(ISNUMBER(Cek_A!W119),4,0)+IF(ISNUMBER(Cek_A!W125),4,0)+IF(ISNUMBER(Cek_A!W133),4,0)+IF(ISNUMBER(Cek_A!W139),4,0)+IF(ISNUMBER(Cek_A!W145),4,0)+IF(ISNUMBER(Cek_A!W151),4,0)+IF(ISNUMBER(Cek_A!W157),4,0))=0,"",(IF(ISNUMBER(Cek_A!W5),Cek_A!W5*4,0)+IF(ISNUMBER(Cek_A!W11),Cek_A!W11*4,0)+IF(ISNUMBER(Cek_A!W17),Cek_A!W17*4,0)+IF(ISNUMBER(Cek_A!W23),Cek_A!W23*4,0)+IF(ISNUMBER(Cek_A!W29),Cek_A!W29*4,0)+IF(ISNUMBER(Cek_A!W37),Cek_A!W37*4,0)+IF(ISNUMBER(Cek_A!W43),Cek_A!W43*4,0)+IF(ISNUMBER(Cek_A!W49),Cek_A!W49*4,0)+IF(ISNUMBER(Cek_A!W55),Cek_A!W55*4,0)+IF(ISNUMBER(Cek_A!W61),Cek_A!W61*4,0)+IF(ISNUMBER(Cek_A!W69),Cek_A!W69*4,0)+IF(ISNUMBER(Cek_A!W75),Cek_A!W75*4,0)+IF(ISNUMBER(Cek_A!W81),Cek_A!W81*4,0)+IF(ISNUMBER(Cek_A!W87),Cek_A!W87*4,0)+IF(ISNUMBER(Cek_A!W93),Cek_A!W93*4,0)+IF(ISNUMBER(Cek_A!W101),Cek_A!W101*4,0)+IF(ISNUMBER(Cek_A!W107),Cek_A!W107*4,0)+IF(ISNUMBER(Cek_A!W113),Cek_A!W113*4,0)+IF(ISNUMBER(Cek_A!W119),Cek_A!W119*4,0)+IF(ISNUMBER(Cek_A!W125),Cek_A!W125*4,0)+IF(ISNUMBER(Cek_A!W133),Cek_A!W133*4,0)+IF(ISNUMBER(Cek_A!W139),Cek_A!W139*4,0)+IF(ISNUMBER(Cek_A!W145),Cek_A!W145*4,0)+IF(ISNUMBER(Cek_A!W151),Cek_A!W151*4,0)+IF(ISNUMBER(Cek_A!W157),Cek_A!W157*4,0))/(IF(ISNUMBER(Cek_A!W5),4,0)+IF(ISNUMBER(Cek_A!W11),4,0)+IF(ISNUMBER(Cek_A!W17),4,0)+IF(ISNUMBER(Cek_A!W23),4,0)+IF(ISNUMBER(Cek_A!W29),4,0)+IF(ISNUMBER(Cek_A!W37),4,0)+IF(ISNUMBER(Cek_A!W43),4,0)+IF(ISNUMBER(Cek_A!W49),4,0)+IF(ISNUMBER(Cek_A!W55),4,0)+IF(ISNUMBER(Cek_A!W61),4,0)+IF(ISNUMBER(Cek_A!W69),4,0)+IF(ISNUMBER(Cek_A!W75),4,0)+IF(ISNUMBER(Cek_A!W81),4,0)+IF(ISNUMBER(Cek_A!W87),4,0)+IF(ISNUMBER(Cek_A!W93),4,0)+IF(ISNUMBER(Cek_A!W101),4,0)+IF(ISNUMBER(Cek_A!W107),4,0)+IF(ISNUMBER(Cek_A!W113),4,0)+IF(ISNUMBER(Cek_A!W119),4,0)+IF(ISNUMBER(Cek_A!W125),4,0)+IF(ISNUMBER(Cek_A!W133),4,0)+IF(ISNUMBER(Cek_A!W139),4,0)+IF(ISNUMBER(Cek_A!W145),4,0)+IF(ISNUMBER(Cek_A!W151),4,0)+IF(ISNUMBER(Cek_A!W157),4,0)))</f>
        <v/>
      </c>
      <c r="X4" s="9" t="str">
        <f>IF((IF(ISNUMBER(Cek_A!X5),4,0)+IF(ISNUMBER(Cek_A!X11),4,0)+IF(ISNUMBER(Cek_A!X17),4,0)+IF(ISNUMBER(Cek_A!X23),4,0)+IF(ISNUMBER(Cek_A!X29),4,0)+IF(ISNUMBER(Cek_A!X37),4,0)+IF(ISNUMBER(Cek_A!X43),4,0)+IF(ISNUMBER(Cek_A!X49),4,0)+IF(ISNUMBER(Cek_A!X55),4,0)+IF(ISNUMBER(Cek_A!X61),4,0)+IF(ISNUMBER(Cek_A!X69),4,0)+IF(ISNUMBER(Cek_A!X75),4,0)+IF(ISNUMBER(Cek_A!X81),4,0)+IF(ISNUMBER(Cek_A!X87),4,0)+IF(ISNUMBER(Cek_A!X93),4,0)+IF(ISNUMBER(Cek_A!X101),4,0)+IF(ISNUMBER(Cek_A!X107),4,0)+IF(ISNUMBER(Cek_A!X113),4,0)+IF(ISNUMBER(Cek_A!X119),4,0)+IF(ISNUMBER(Cek_A!X125),4,0)+IF(ISNUMBER(Cek_A!X133),4,0)+IF(ISNUMBER(Cek_A!X139),4,0)+IF(ISNUMBER(Cek_A!X145),4,0)+IF(ISNUMBER(Cek_A!X151),4,0)+IF(ISNUMBER(Cek_A!X157),4,0))=0,"",(IF(ISNUMBER(Cek_A!X5),Cek_A!X5*4,0)+IF(ISNUMBER(Cek_A!X11),Cek_A!X11*4,0)+IF(ISNUMBER(Cek_A!X17),Cek_A!X17*4,0)+IF(ISNUMBER(Cek_A!X23),Cek_A!X23*4,0)+IF(ISNUMBER(Cek_A!X29),Cek_A!X29*4,0)+IF(ISNUMBER(Cek_A!X37),Cek_A!X37*4,0)+IF(ISNUMBER(Cek_A!X43),Cek_A!X43*4,0)+IF(ISNUMBER(Cek_A!X49),Cek_A!X49*4,0)+IF(ISNUMBER(Cek_A!X55),Cek_A!X55*4,0)+IF(ISNUMBER(Cek_A!X61),Cek_A!X61*4,0)+IF(ISNUMBER(Cek_A!X69),Cek_A!X69*4,0)+IF(ISNUMBER(Cek_A!X75),Cek_A!X75*4,0)+IF(ISNUMBER(Cek_A!X81),Cek_A!X81*4,0)+IF(ISNUMBER(Cek_A!X87),Cek_A!X87*4,0)+IF(ISNUMBER(Cek_A!X93),Cek_A!X93*4,0)+IF(ISNUMBER(Cek_A!X101),Cek_A!X101*4,0)+IF(ISNUMBER(Cek_A!X107),Cek_A!X107*4,0)+IF(ISNUMBER(Cek_A!X113),Cek_A!X113*4,0)+IF(ISNUMBER(Cek_A!X119),Cek_A!X119*4,0)+IF(ISNUMBER(Cek_A!X125),Cek_A!X125*4,0)+IF(ISNUMBER(Cek_A!X133),Cek_A!X133*4,0)+IF(ISNUMBER(Cek_A!X139),Cek_A!X139*4,0)+IF(ISNUMBER(Cek_A!X145),Cek_A!X145*4,0)+IF(ISNUMBER(Cek_A!X151),Cek_A!X151*4,0)+IF(ISNUMBER(Cek_A!X157),Cek_A!X157*4,0))/(IF(ISNUMBER(Cek_A!X5),4,0)+IF(ISNUMBER(Cek_A!X11),4,0)+IF(ISNUMBER(Cek_A!X17),4,0)+IF(ISNUMBER(Cek_A!X23),4,0)+IF(ISNUMBER(Cek_A!X29),4,0)+IF(ISNUMBER(Cek_A!X37),4,0)+IF(ISNUMBER(Cek_A!X43),4,0)+IF(ISNUMBER(Cek_A!X49),4,0)+IF(ISNUMBER(Cek_A!X55),4,0)+IF(ISNUMBER(Cek_A!X61),4,0)+IF(ISNUMBER(Cek_A!X69),4,0)+IF(ISNUMBER(Cek_A!X75),4,0)+IF(ISNUMBER(Cek_A!X81),4,0)+IF(ISNUMBER(Cek_A!X87),4,0)+IF(ISNUMBER(Cek_A!X93),4,0)+IF(ISNUMBER(Cek_A!X101),4,0)+IF(ISNUMBER(Cek_A!X107),4,0)+IF(ISNUMBER(Cek_A!X113),4,0)+IF(ISNUMBER(Cek_A!X119),4,0)+IF(ISNUMBER(Cek_A!X125),4,0)+IF(ISNUMBER(Cek_A!X133),4,0)+IF(ISNUMBER(Cek_A!X139),4,0)+IF(ISNUMBER(Cek_A!X145),4,0)+IF(ISNUMBER(Cek_A!X151),4,0)+IF(ISNUMBER(Cek_A!X157),4,0)))</f>
        <v/>
      </c>
      <c r="Y4" s="9" t="str">
        <f>IF((IF(ISNUMBER(Cek_A!Y5),4,0)+IF(ISNUMBER(Cek_A!Y11),4,0)+IF(ISNUMBER(Cek_A!Y17),4,0)+IF(ISNUMBER(Cek_A!Y23),4,0)+IF(ISNUMBER(Cek_A!Y29),4,0)+IF(ISNUMBER(Cek_A!Y37),4,0)+IF(ISNUMBER(Cek_A!Y43),4,0)+IF(ISNUMBER(Cek_A!Y49),4,0)+IF(ISNUMBER(Cek_A!Y55),4,0)+IF(ISNUMBER(Cek_A!Y61),4,0)+IF(ISNUMBER(Cek_A!Y69),4,0)+IF(ISNUMBER(Cek_A!Y75),4,0)+IF(ISNUMBER(Cek_A!Y81),4,0)+IF(ISNUMBER(Cek_A!Y87),4,0)+IF(ISNUMBER(Cek_A!Y93),4,0)+IF(ISNUMBER(Cek_A!Y101),4,0)+IF(ISNUMBER(Cek_A!Y107),4,0)+IF(ISNUMBER(Cek_A!Y113),4,0)+IF(ISNUMBER(Cek_A!Y119),4,0)+IF(ISNUMBER(Cek_A!Y125),4,0)+IF(ISNUMBER(Cek_A!Y133),4,0)+IF(ISNUMBER(Cek_A!Y139),4,0)+IF(ISNUMBER(Cek_A!Y145),4,0)+IF(ISNUMBER(Cek_A!Y151),4,0)+IF(ISNUMBER(Cek_A!Y157),4,0))=0,"",(IF(ISNUMBER(Cek_A!Y5),Cek_A!Y5*4,0)+IF(ISNUMBER(Cek_A!Y11),Cek_A!Y11*4,0)+IF(ISNUMBER(Cek_A!Y17),Cek_A!Y17*4,0)+IF(ISNUMBER(Cek_A!Y23),Cek_A!Y23*4,0)+IF(ISNUMBER(Cek_A!Y29),Cek_A!Y29*4,0)+IF(ISNUMBER(Cek_A!Y37),Cek_A!Y37*4,0)+IF(ISNUMBER(Cek_A!Y43),Cek_A!Y43*4,0)+IF(ISNUMBER(Cek_A!Y49),Cek_A!Y49*4,0)+IF(ISNUMBER(Cek_A!Y55),Cek_A!Y55*4,0)+IF(ISNUMBER(Cek_A!Y61),Cek_A!Y61*4,0)+IF(ISNUMBER(Cek_A!Y69),Cek_A!Y69*4,0)+IF(ISNUMBER(Cek_A!Y75),Cek_A!Y75*4,0)+IF(ISNUMBER(Cek_A!Y81),Cek_A!Y81*4,0)+IF(ISNUMBER(Cek_A!Y87),Cek_A!Y87*4,0)+IF(ISNUMBER(Cek_A!Y93),Cek_A!Y93*4,0)+IF(ISNUMBER(Cek_A!Y101),Cek_A!Y101*4,0)+IF(ISNUMBER(Cek_A!Y107),Cek_A!Y107*4,0)+IF(ISNUMBER(Cek_A!Y113),Cek_A!Y113*4,0)+IF(ISNUMBER(Cek_A!Y119),Cek_A!Y119*4,0)+IF(ISNUMBER(Cek_A!Y125),Cek_A!Y125*4,0)+IF(ISNUMBER(Cek_A!Y133),Cek_A!Y133*4,0)+IF(ISNUMBER(Cek_A!Y139),Cek_A!Y139*4,0)+IF(ISNUMBER(Cek_A!Y145),Cek_A!Y145*4,0)+IF(ISNUMBER(Cek_A!Y151),Cek_A!Y151*4,0)+IF(ISNUMBER(Cek_A!Y157),Cek_A!Y157*4,0))/(IF(ISNUMBER(Cek_A!Y5),4,0)+IF(ISNUMBER(Cek_A!Y11),4,0)+IF(ISNUMBER(Cek_A!Y17),4,0)+IF(ISNUMBER(Cek_A!Y23),4,0)+IF(ISNUMBER(Cek_A!Y29),4,0)+IF(ISNUMBER(Cek_A!Y37),4,0)+IF(ISNUMBER(Cek_A!Y43),4,0)+IF(ISNUMBER(Cek_A!Y49),4,0)+IF(ISNUMBER(Cek_A!Y55),4,0)+IF(ISNUMBER(Cek_A!Y61),4,0)+IF(ISNUMBER(Cek_A!Y69),4,0)+IF(ISNUMBER(Cek_A!Y75),4,0)+IF(ISNUMBER(Cek_A!Y81),4,0)+IF(ISNUMBER(Cek_A!Y87),4,0)+IF(ISNUMBER(Cek_A!Y93),4,0)+IF(ISNUMBER(Cek_A!Y101),4,0)+IF(ISNUMBER(Cek_A!Y107),4,0)+IF(ISNUMBER(Cek_A!Y113),4,0)+IF(ISNUMBER(Cek_A!Y119),4,0)+IF(ISNUMBER(Cek_A!Y125),4,0)+IF(ISNUMBER(Cek_A!Y133),4,0)+IF(ISNUMBER(Cek_A!Y139),4,0)+IF(ISNUMBER(Cek_A!Y145),4,0)+IF(ISNUMBER(Cek_A!Y151),4,0)+IF(ISNUMBER(Cek_A!Y157),4,0)))</f>
        <v/>
      </c>
      <c r="Z4" s="9" t="str">
        <f>_xlfn.IFERROR(AVERAGE(E4:Y4),"")</f>
        <v/>
      </c>
    </row>
    <row r="5" spans="8:8" ht="26.0" customHeight="1">
      <c r="A5" s="7">
        <v>2.0</v>
      </c>
      <c r="B5" s="42" t="s">
        <v>13</v>
      </c>
      <c r="C5" s="43" t="s">
        <v>456</v>
      </c>
      <c r="D5" s="32"/>
      <c r="E5" s="9" t="str">
        <f>IF((IF(ISNUMBER(Cek_C!E5),6.25,0)+IF(ISNUMBER(Cek_C!E11),6.25,0)+IF(ISNUMBER(Cek_C!E17),6.25,0)+IF(ISNUMBER(Cek_C!E23),6.25,0)+IF(ISNUMBER(Cek_C!E31),6.25,0)+IF(ISNUMBER(Cek_C!E37),6.25,0)+IF(ISNUMBER(Cek_C!E43),6.25,0)+IF(ISNUMBER(Cek_C!E51),6.25,0)+IF(ISNUMBER(Cek_C!E57),6.25,0)+IF(ISNUMBER(Cek_C!E63),6.25,0)+IF(ISNUMBER(Cek_C!E71),6.25,0)+IF(ISNUMBER(Cek_C!E77),6.25,0))=0,"",(IF(ISNUMBER(Cek_C!E5),Cek_C!E5*6.25,0)+IF(ISNUMBER(Cek_C!E11),Cek_C!E11*6.25,0)+IF(ISNUMBER(Cek_C!E17),Cek_C!E17*6.25,0)+IF(ISNUMBER(Cek_C!E23),Cek_C!E23*6.25,0)+IF(ISNUMBER(Cek_C!E31),Cek_C!E31*6.25,0)+IF(ISNUMBER(Cek_C!E37),Cek_C!E37*6.25,0)+IF(ISNUMBER(Cek_C!E43),Cek_C!E43*6.25,0)+IF(ISNUMBER(Cek_C!E51),Cek_C!E51*6.25,0)+IF(ISNUMBER(Cek_C!E57),Cek_C!E57*6.25,0)+IF(ISNUMBER(Cek_C!E63),Cek_C!E63*6.25,0)+IF(ISNUMBER(Cek_C!E71),Cek_C!E71*6.25,0)+IF(ISNUMBER(Cek_C!E77),Cek_C!E77*6.25,0))/(IF(ISNUMBER(Cek_C!E5),6.25,0)+IF(ISNUMBER(Cek_C!E11),6.25,0)+IF(ISNUMBER(Cek_C!E17),6.25,0)+IF(ISNUMBER(Cek_C!E23),6.25,0)+IF(ISNUMBER(Cek_C!E31),6.25,0)+IF(ISNUMBER(Cek_C!E37),6.25,0)+IF(ISNUMBER(Cek_C!E43),6.25,0)+IF(ISNUMBER(Cek_C!E51),6.25,0)+IF(ISNUMBER(Cek_C!E57),6.25,0)+IF(ISNUMBER(Cek_C!E63),6.25,0)+IF(ISNUMBER(Cek_C!E71),6.25,0)+IF(ISNUMBER(Cek_C!E77),6.25,0)))</f>
        <v/>
      </c>
      <c r="F5" s="9" t="str">
        <f>IF((IF(ISNUMBER(Cek_C!F5),6.25,0)+IF(ISNUMBER(Cek_C!F11),6.25,0)+IF(ISNUMBER(Cek_C!F17),6.25,0)+IF(ISNUMBER(Cek_C!F23),6.25,0)+IF(ISNUMBER(Cek_C!F31),6.25,0)+IF(ISNUMBER(Cek_C!F37),6.25,0)+IF(ISNUMBER(Cek_C!F43),6.25,0)+IF(ISNUMBER(Cek_C!F51),6.25,0)+IF(ISNUMBER(Cek_C!F57),6.25,0)+IF(ISNUMBER(Cek_C!F63),6.25,0)+IF(ISNUMBER(Cek_C!F71),6.25,0)+IF(ISNUMBER(Cek_C!F77),6.25,0))=0,"",(IF(ISNUMBER(Cek_C!F5),Cek_C!F5*6.25,0)+IF(ISNUMBER(Cek_C!F11),Cek_C!F11*6.25,0)+IF(ISNUMBER(Cek_C!F17),Cek_C!F17*6.25,0)+IF(ISNUMBER(Cek_C!F23),Cek_C!F23*6.25,0)+IF(ISNUMBER(Cek_C!F31),Cek_C!F31*6.25,0)+IF(ISNUMBER(Cek_C!F37),Cek_C!F37*6.25,0)+IF(ISNUMBER(Cek_C!F43),Cek_C!F43*6.25,0)+IF(ISNUMBER(Cek_C!F51),Cek_C!F51*6.25,0)+IF(ISNUMBER(Cek_C!F57),Cek_C!F57*6.25,0)+IF(ISNUMBER(Cek_C!F63),Cek_C!F63*6.25,0)+IF(ISNUMBER(Cek_C!F71),Cek_C!F71*6.25,0)+IF(ISNUMBER(Cek_C!F77),Cek_C!F77*6.25,0))/(IF(ISNUMBER(Cek_C!F5),6.25,0)+IF(ISNUMBER(Cek_C!F11),6.25,0)+IF(ISNUMBER(Cek_C!F17),6.25,0)+IF(ISNUMBER(Cek_C!F23),6.25,0)+IF(ISNUMBER(Cek_C!F31),6.25,0)+IF(ISNUMBER(Cek_C!F37),6.25,0)+IF(ISNUMBER(Cek_C!F43),6.25,0)+IF(ISNUMBER(Cek_C!F51),6.25,0)+IF(ISNUMBER(Cek_C!F57),6.25,0)+IF(ISNUMBER(Cek_C!F63),6.25,0)+IF(ISNUMBER(Cek_C!F71),6.25,0)+IF(ISNUMBER(Cek_C!F77),6.25,0)))</f>
        <v/>
      </c>
      <c r="G5" s="9" t="str">
        <f>IF((IF(ISNUMBER(Cek_C!G5),6.25,0)+IF(ISNUMBER(Cek_C!G11),6.25,0)+IF(ISNUMBER(Cek_C!G17),6.25,0)+IF(ISNUMBER(Cek_C!G23),6.25,0)+IF(ISNUMBER(Cek_C!G31),6.25,0)+IF(ISNUMBER(Cek_C!G37),6.25,0)+IF(ISNUMBER(Cek_C!G43),6.25,0)+IF(ISNUMBER(Cek_C!G51),6.25,0)+IF(ISNUMBER(Cek_C!G57),6.25,0)+IF(ISNUMBER(Cek_C!G63),6.25,0)+IF(ISNUMBER(Cek_C!G71),6.25,0)+IF(ISNUMBER(Cek_C!G77),6.25,0))=0,"",(IF(ISNUMBER(Cek_C!G5),Cek_C!G5*6.25,0)+IF(ISNUMBER(Cek_C!G11),Cek_C!G11*6.25,0)+IF(ISNUMBER(Cek_C!G17),Cek_C!G17*6.25,0)+IF(ISNUMBER(Cek_C!G23),Cek_C!G23*6.25,0)+IF(ISNUMBER(Cek_C!G31),Cek_C!G31*6.25,0)+IF(ISNUMBER(Cek_C!G37),Cek_C!G37*6.25,0)+IF(ISNUMBER(Cek_C!G43),Cek_C!G43*6.25,0)+IF(ISNUMBER(Cek_C!G51),Cek_C!G51*6.25,0)+IF(ISNUMBER(Cek_C!G57),Cek_C!G57*6.25,0)+IF(ISNUMBER(Cek_C!G63),Cek_C!G63*6.25,0)+IF(ISNUMBER(Cek_C!G71),Cek_C!G71*6.25,0)+IF(ISNUMBER(Cek_C!G77),Cek_C!G77*6.25,0))/(IF(ISNUMBER(Cek_C!G5),6.25,0)+IF(ISNUMBER(Cek_C!G11),6.25,0)+IF(ISNUMBER(Cek_C!G17),6.25,0)+IF(ISNUMBER(Cek_C!G23),6.25,0)+IF(ISNUMBER(Cek_C!G31),6.25,0)+IF(ISNUMBER(Cek_C!G37),6.25,0)+IF(ISNUMBER(Cek_C!G43),6.25,0)+IF(ISNUMBER(Cek_C!G51),6.25,0)+IF(ISNUMBER(Cek_C!G57),6.25,0)+IF(ISNUMBER(Cek_C!G63),6.25,0)+IF(ISNUMBER(Cek_C!G71),6.25,0)+IF(ISNUMBER(Cek_C!G77),6.25,0)))</f>
        <v/>
      </c>
      <c r="H5" s="9" t="str">
        <f>IF((IF(ISNUMBER(Cek_C!H5),6.25,0)+IF(ISNUMBER(Cek_C!H11),6.25,0)+IF(ISNUMBER(Cek_C!H17),6.25,0)+IF(ISNUMBER(Cek_C!H23),6.25,0)+IF(ISNUMBER(Cek_C!H31),6.25,0)+IF(ISNUMBER(Cek_C!H37),6.25,0)+IF(ISNUMBER(Cek_C!H43),6.25,0)+IF(ISNUMBER(Cek_C!H51),6.25,0)+IF(ISNUMBER(Cek_C!H57),6.25,0)+IF(ISNUMBER(Cek_C!H63),6.25,0)+IF(ISNUMBER(Cek_C!H71),6.25,0)+IF(ISNUMBER(Cek_C!H77),6.25,0))=0,"",(IF(ISNUMBER(Cek_C!H5),Cek_C!H5*6.25,0)+IF(ISNUMBER(Cek_C!H11),Cek_C!H11*6.25,0)+IF(ISNUMBER(Cek_C!H17),Cek_C!H17*6.25,0)+IF(ISNUMBER(Cek_C!H23),Cek_C!H23*6.25,0)+IF(ISNUMBER(Cek_C!H31),Cek_C!H31*6.25,0)+IF(ISNUMBER(Cek_C!H37),Cek_C!H37*6.25,0)+IF(ISNUMBER(Cek_C!H43),Cek_C!H43*6.25,0)+IF(ISNUMBER(Cek_C!H51),Cek_C!H51*6.25,0)+IF(ISNUMBER(Cek_C!H57),Cek_C!H57*6.25,0)+IF(ISNUMBER(Cek_C!H63),Cek_C!H63*6.25,0)+IF(ISNUMBER(Cek_C!H71),Cek_C!H71*6.25,0)+IF(ISNUMBER(Cek_C!H77),Cek_C!H77*6.25,0))/(IF(ISNUMBER(Cek_C!H5),6.25,0)+IF(ISNUMBER(Cek_C!H11),6.25,0)+IF(ISNUMBER(Cek_C!H17),6.25,0)+IF(ISNUMBER(Cek_C!H23),6.25,0)+IF(ISNUMBER(Cek_C!H31),6.25,0)+IF(ISNUMBER(Cek_C!H37),6.25,0)+IF(ISNUMBER(Cek_C!H43),6.25,0)+IF(ISNUMBER(Cek_C!H51),6.25,0)+IF(ISNUMBER(Cek_C!H57),6.25,0)+IF(ISNUMBER(Cek_C!H63),6.25,0)+IF(ISNUMBER(Cek_C!H71),6.25,0)+IF(ISNUMBER(Cek_C!H77),6.25,0)))</f>
        <v/>
      </c>
      <c r="I5" s="9" t="str">
        <f>IF((IF(ISNUMBER(Cek_C!I5),6.25,0)+IF(ISNUMBER(Cek_C!I11),6.25,0)+IF(ISNUMBER(Cek_C!I17),6.25,0)+IF(ISNUMBER(Cek_C!I23),6.25,0)+IF(ISNUMBER(Cek_C!I31),6.25,0)+IF(ISNUMBER(Cek_C!I37),6.25,0)+IF(ISNUMBER(Cek_C!I43),6.25,0)+IF(ISNUMBER(Cek_C!I51),6.25,0)+IF(ISNUMBER(Cek_C!I57),6.25,0)+IF(ISNUMBER(Cek_C!I63),6.25,0)+IF(ISNUMBER(Cek_C!I71),6.25,0)+IF(ISNUMBER(Cek_C!I77),6.25,0))=0,"",(IF(ISNUMBER(Cek_C!I5),Cek_C!I5*6.25,0)+IF(ISNUMBER(Cek_C!I11),Cek_C!I11*6.25,0)+IF(ISNUMBER(Cek_C!I17),Cek_C!I17*6.25,0)+IF(ISNUMBER(Cek_C!I23),Cek_C!I23*6.25,0)+IF(ISNUMBER(Cek_C!I31),Cek_C!I31*6.25,0)+IF(ISNUMBER(Cek_C!I37),Cek_C!I37*6.25,0)+IF(ISNUMBER(Cek_C!I43),Cek_C!I43*6.25,0)+IF(ISNUMBER(Cek_C!I51),Cek_C!I51*6.25,0)+IF(ISNUMBER(Cek_C!I57),Cek_C!I57*6.25,0)+IF(ISNUMBER(Cek_C!I63),Cek_C!I63*6.25,0)+IF(ISNUMBER(Cek_C!I71),Cek_C!I71*6.25,0)+IF(ISNUMBER(Cek_C!I77),Cek_C!I77*6.25,0))/(IF(ISNUMBER(Cek_C!I5),6.25,0)+IF(ISNUMBER(Cek_C!I11),6.25,0)+IF(ISNUMBER(Cek_C!I17),6.25,0)+IF(ISNUMBER(Cek_C!I23),6.25,0)+IF(ISNUMBER(Cek_C!I31),6.25,0)+IF(ISNUMBER(Cek_C!I37),6.25,0)+IF(ISNUMBER(Cek_C!I43),6.25,0)+IF(ISNUMBER(Cek_C!I51),6.25,0)+IF(ISNUMBER(Cek_C!I57),6.25,0)+IF(ISNUMBER(Cek_C!I63),6.25,0)+IF(ISNUMBER(Cek_C!I71),6.25,0)+IF(ISNUMBER(Cek_C!I77),6.25,0)))</f>
        <v/>
      </c>
      <c r="J5" s="9" t="str">
        <f>IF((IF(ISNUMBER(Cek_C!J5),6.25,0)+IF(ISNUMBER(Cek_C!J11),6.25,0)+IF(ISNUMBER(Cek_C!J17),6.25,0)+IF(ISNUMBER(Cek_C!J23),6.25,0)+IF(ISNUMBER(Cek_C!J31),6.25,0)+IF(ISNUMBER(Cek_C!J37),6.25,0)+IF(ISNUMBER(Cek_C!J43),6.25,0)+IF(ISNUMBER(Cek_C!J51),6.25,0)+IF(ISNUMBER(Cek_C!J57),6.25,0)+IF(ISNUMBER(Cek_C!J63),6.25,0)+IF(ISNUMBER(Cek_C!J71),6.25,0)+IF(ISNUMBER(Cek_C!J77),6.25,0))=0,"",(IF(ISNUMBER(Cek_C!J5),Cek_C!J5*6.25,0)+IF(ISNUMBER(Cek_C!J11),Cek_C!J11*6.25,0)+IF(ISNUMBER(Cek_C!J17),Cek_C!J17*6.25,0)+IF(ISNUMBER(Cek_C!J23),Cek_C!J23*6.25,0)+IF(ISNUMBER(Cek_C!J31),Cek_C!J31*6.25,0)+IF(ISNUMBER(Cek_C!J37),Cek_C!J37*6.25,0)+IF(ISNUMBER(Cek_C!J43),Cek_C!J43*6.25,0)+IF(ISNUMBER(Cek_C!J51),Cek_C!J51*6.25,0)+IF(ISNUMBER(Cek_C!J57),Cek_C!J57*6.25,0)+IF(ISNUMBER(Cek_C!J63),Cek_C!J63*6.25,0)+IF(ISNUMBER(Cek_C!J71),Cek_C!J71*6.25,0)+IF(ISNUMBER(Cek_C!J77),Cek_C!J77*6.25,0))/(IF(ISNUMBER(Cek_C!J5),6.25,0)+IF(ISNUMBER(Cek_C!J11),6.25,0)+IF(ISNUMBER(Cek_C!J17),6.25,0)+IF(ISNUMBER(Cek_C!J23),6.25,0)+IF(ISNUMBER(Cek_C!J31),6.25,0)+IF(ISNUMBER(Cek_C!J37),6.25,0)+IF(ISNUMBER(Cek_C!J43),6.25,0)+IF(ISNUMBER(Cek_C!J51),6.25,0)+IF(ISNUMBER(Cek_C!J57),6.25,0)+IF(ISNUMBER(Cek_C!J63),6.25,0)+IF(ISNUMBER(Cek_C!J71),6.25,0)+IF(ISNUMBER(Cek_C!J77),6.25,0)))</f>
        <v/>
      </c>
      <c r="K5" s="9" t="str">
        <f>IF((IF(ISNUMBER(Cek_C!K5),6.25,0)+IF(ISNUMBER(Cek_C!K11),6.25,0)+IF(ISNUMBER(Cek_C!K17),6.25,0)+IF(ISNUMBER(Cek_C!K23),6.25,0)+IF(ISNUMBER(Cek_C!K31),6.25,0)+IF(ISNUMBER(Cek_C!K37),6.25,0)+IF(ISNUMBER(Cek_C!K43),6.25,0)+IF(ISNUMBER(Cek_C!K51),6.25,0)+IF(ISNUMBER(Cek_C!K57),6.25,0)+IF(ISNUMBER(Cek_C!K63),6.25,0)+IF(ISNUMBER(Cek_C!K71),6.25,0)+IF(ISNUMBER(Cek_C!K77),6.25,0))=0,"",(IF(ISNUMBER(Cek_C!K5),Cek_C!K5*6.25,0)+IF(ISNUMBER(Cek_C!K11),Cek_C!K11*6.25,0)+IF(ISNUMBER(Cek_C!K17),Cek_C!K17*6.25,0)+IF(ISNUMBER(Cek_C!K23),Cek_C!K23*6.25,0)+IF(ISNUMBER(Cek_C!K31),Cek_C!K31*6.25,0)+IF(ISNUMBER(Cek_C!K37),Cek_C!K37*6.25,0)+IF(ISNUMBER(Cek_C!K43),Cek_C!K43*6.25,0)+IF(ISNUMBER(Cek_C!K51),Cek_C!K51*6.25,0)+IF(ISNUMBER(Cek_C!K57),Cek_C!K57*6.25,0)+IF(ISNUMBER(Cek_C!K63),Cek_C!K63*6.25,0)+IF(ISNUMBER(Cek_C!K71),Cek_C!K71*6.25,0)+IF(ISNUMBER(Cek_C!K77),Cek_C!K77*6.25,0))/(IF(ISNUMBER(Cek_C!K5),6.25,0)+IF(ISNUMBER(Cek_C!K11),6.25,0)+IF(ISNUMBER(Cek_C!K17),6.25,0)+IF(ISNUMBER(Cek_C!K23),6.25,0)+IF(ISNUMBER(Cek_C!K31),6.25,0)+IF(ISNUMBER(Cek_C!K37),6.25,0)+IF(ISNUMBER(Cek_C!K43),6.25,0)+IF(ISNUMBER(Cek_C!K51),6.25,0)+IF(ISNUMBER(Cek_C!K57),6.25,0)+IF(ISNUMBER(Cek_C!K63),6.25,0)+IF(ISNUMBER(Cek_C!K71),6.25,0)+IF(ISNUMBER(Cek_C!K77),6.25,0)))</f>
        <v/>
      </c>
      <c r="L5" s="9" t="str">
        <f>IF((IF(ISNUMBER(Cek_C!L5),6.25,0)+IF(ISNUMBER(Cek_C!L11),6.25,0)+IF(ISNUMBER(Cek_C!L17),6.25,0)+IF(ISNUMBER(Cek_C!L23),6.25,0)+IF(ISNUMBER(Cek_C!L31),6.25,0)+IF(ISNUMBER(Cek_C!L37),6.25,0)+IF(ISNUMBER(Cek_C!L43),6.25,0)+IF(ISNUMBER(Cek_C!L51),6.25,0)+IF(ISNUMBER(Cek_C!L57),6.25,0)+IF(ISNUMBER(Cek_C!L63),6.25,0)+IF(ISNUMBER(Cek_C!L71),6.25,0)+IF(ISNUMBER(Cek_C!L77),6.25,0))=0,"",(IF(ISNUMBER(Cek_C!L5),Cek_C!L5*6.25,0)+IF(ISNUMBER(Cek_C!L11),Cek_C!L11*6.25,0)+IF(ISNUMBER(Cek_C!L17),Cek_C!L17*6.25,0)+IF(ISNUMBER(Cek_C!L23),Cek_C!L23*6.25,0)+IF(ISNUMBER(Cek_C!L31),Cek_C!L31*6.25,0)+IF(ISNUMBER(Cek_C!L37),Cek_C!L37*6.25,0)+IF(ISNUMBER(Cek_C!L43),Cek_C!L43*6.25,0)+IF(ISNUMBER(Cek_C!L51),Cek_C!L51*6.25,0)+IF(ISNUMBER(Cek_C!L57),Cek_C!L57*6.25,0)+IF(ISNUMBER(Cek_C!L63),Cek_C!L63*6.25,0)+IF(ISNUMBER(Cek_C!L71),Cek_C!L71*6.25,0)+IF(ISNUMBER(Cek_C!L77),Cek_C!L77*6.25,0))/(IF(ISNUMBER(Cek_C!L5),6.25,0)+IF(ISNUMBER(Cek_C!L11),6.25,0)+IF(ISNUMBER(Cek_C!L17),6.25,0)+IF(ISNUMBER(Cek_C!L23),6.25,0)+IF(ISNUMBER(Cek_C!L31),6.25,0)+IF(ISNUMBER(Cek_C!L37),6.25,0)+IF(ISNUMBER(Cek_C!L43),6.25,0)+IF(ISNUMBER(Cek_C!L51),6.25,0)+IF(ISNUMBER(Cek_C!L57),6.25,0)+IF(ISNUMBER(Cek_C!L63),6.25,0)+IF(ISNUMBER(Cek_C!L71),6.25,0)+IF(ISNUMBER(Cek_C!L77),6.25,0)))</f>
        <v/>
      </c>
      <c r="M5" s="9" t="str">
        <f>IF((IF(ISNUMBER(Cek_C!M5),6.25,0)+IF(ISNUMBER(Cek_C!M11),6.25,0)+IF(ISNUMBER(Cek_C!M17),6.25,0)+IF(ISNUMBER(Cek_C!M23),6.25,0)+IF(ISNUMBER(Cek_C!M31),6.25,0)+IF(ISNUMBER(Cek_C!M37),6.25,0)+IF(ISNUMBER(Cek_C!M43),6.25,0)+IF(ISNUMBER(Cek_C!M51),6.25,0)+IF(ISNUMBER(Cek_C!M57),6.25,0)+IF(ISNUMBER(Cek_C!M63),6.25,0)+IF(ISNUMBER(Cek_C!M71),6.25,0)+IF(ISNUMBER(Cek_C!M77),6.25,0))=0,"",(IF(ISNUMBER(Cek_C!M5),Cek_C!M5*6.25,0)+IF(ISNUMBER(Cek_C!M11),Cek_C!M11*6.25,0)+IF(ISNUMBER(Cek_C!M17),Cek_C!M17*6.25,0)+IF(ISNUMBER(Cek_C!M23),Cek_C!M23*6.25,0)+IF(ISNUMBER(Cek_C!M31),Cek_C!M31*6.25,0)+IF(ISNUMBER(Cek_C!M37),Cek_C!M37*6.25,0)+IF(ISNUMBER(Cek_C!M43),Cek_C!M43*6.25,0)+IF(ISNUMBER(Cek_C!M51),Cek_C!M51*6.25,0)+IF(ISNUMBER(Cek_C!M57),Cek_C!M57*6.25,0)+IF(ISNUMBER(Cek_C!M63),Cek_C!M63*6.25,0)+IF(ISNUMBER(Cek_C!M71),Cek_C!M71*6.25,0)+IF(ISNUMBER(Cek_C!M77),Cek_C!M77*6.25,0))/(IF(ISNUMBER(Cek_C!M5),6.25,0)+IF(ISNUMBER(Cek_C!M11),6.25,0)+IF(ISNUMBER(Cek_C!M17),6.25,0)+IF(ISNUMBER(Cek_C!M23),6.25,0)+IF(ISNUMBER(Cek_C!M31),6.25,0)+IF(ISNUMBER(Cek_C!M37),6.25,0)+IF(ISNUMBER(Cek_C!M43),6.25,0)+IF(ISNUMBER(Cek_C!M51),6.25,0)+IF(ISNUMBER(Cek_C!M57),6.25,0)+IF(ISNUMBER(Cek_C!M63),6.25,0)+IF(ISNUMBER(Cek_C!M71),6.25,0)+IF(ISNUMBER(Cek_C!M77),6.25,0)))</f>
        <v/>
      </c>
      <c r="N5" s="9" t="str">
        <f>IF((IF(ISNUMBER(Cek_C!N5),6.25,0)+IF(ISNUMBER(Cek_C!N11),6.25,0)+IF(ISNUMBER(Cek_C!N17),6.25,0)+IF(ISNUMBER(Cek_C!N23),6.25,0)+IF(ISNUMBER(Cek_C!N31),6.25,0)+IF(ISNUMBER(Cek_C!N37),6.25,0)+IF(ISNUMBER(Cek_C!N43),6.25,0)+IF(ISNUMBER(Cek_C!N51),6.25,0)+IF(ISNUMBER(Cek_C!N57),6.25,0)+IF(ISNUMBER(Cek_C!N63),6.25,0)+IF(ISNUMBER(Cek_C!N71),6.25,0)+IF(ISNUMBER(Cek_C!N77),6.25,0))=0,"",(IF(ISNUMBER(Cek_C!N5),Cek_C!N5*6.25,0)+IF(ISNUMBER(Cek_C!N11),Cek_C!N11*6.25,0)+IF(ISNUMBER(Cek_C!N17),Cek_C!N17*6.25,0)+IF(ISNUMBER(Cek_C!N23),Cek_C!N23*6.25,0)+IF(ISNUMBER(Cek_C!N31),Cek_C!N31*6.25,0)+IF(ISNUMBER(Cek_C!N37),Cek_C!N37*6.25,0)+IF(ISNUMBER(Cek_C!N43),Cek_C!N43*6.25,0)+IF(ISNUMBER(Cek_C!N51),Cek_C!N51*6.25,0)+IF(ISNUMBER(Cek_C!N57),Cek_C!N57*6.25,0)+IF(ISNUMBER(Cek_C!N63),Cek_C!N63*6.25,0)+IF(ISNUMBER(Cek_C!N71),Cek_C!N71*6.25,0)+IF(ISNUMBER(Cek_C!N77),Cek_C!N77*6.25,0))/(IF(ISNUMBER(Cek_C!N5),6.25,0)+IF(ISNUMBER(Cek_C!N11),6.25,0)+IF(ISNUMBER(Cek_C!N17),6.25,0)+IF(ISNUMBER(Cek_C!N23),6.25,0)+IF(ISNUMBER(Cek_C!N31),6.25,0)+IF(ISNUMBER(Cek_C!N37),6.25,0)+IF(ISNUMBER(Cek_C!N43),6.25,0)+IF(ISNUMBER(Cek_C!N51),6.25,0)+IF(ISNUMBER(Cek_C!N57),6.25,0)+IF(ISNUMBER(Cek_C!N63),6.25,0)+IF(ISNUMBER(Cek_C!N71),6.25,0)+IF(ISNUMBER(Cek_C!N77),6.25,0)))</f>
        <v/>
      </c>
      <c r="O5" s="9" t="str">
        <f>IF((IF(ISNUMBER(Cek_C!O5),6.25,0)+IF(ISNUMBER(Cek_C!O11),6.25,0)+IF(ISNUMBER(Cek_C!O17),6.25,0)+IF(ISNUMBER(Cek_C!O23),6.25,0)+IF(ISNUMBER(Cek_C!O31),6.25,0)+IF(ISNUMBER(Cek_C!O37),6.25,0)+IF(ISNUMBER(Cek_C!O43),6.25,0)+IF(ISNUMBER(Cek_C!O51),6.25,0)+IF(ISNUMBER(Cek_C!O57),6.25,0)+IF(ISNUMBER(Cek_C!O63),6.25,0)+IF(ISNUMBER(Cek_C!O71),6.25,0)+IF(ISNUMBER(Cek_C!O77),6.25,0))=0,"",(IF(ISNUMBER(Cek_C!O5),Cek_C!O5*6.25,0)+IF(ISNUMBER(Cek_C!O11),Cek_C!O11*6.25,0)+IF(ISNUMBER(Cek_C!O17),Cek_C!O17*6.25,0)+IF(ISNUMBER(Cek_C!O23),Cek_C!O23*6.25,0)+IF(ISNUMBER(Cek_C!O31),Cek_C!O31*6.25,0)+IF(ISNUMBER(Cek_C!O37),Cek_C!O37*6.25,0)+IF(ISNUMBER(Cek_C!O43),Cek_C!O43*6.25,0)+IF(ISNUMBER(Cek_C!O51),Cek_C!O51*6.25,0)+IF(ISNUMBER(Cek_C!O57),Cek_C!O57*6.25,0)+IF(ISNUMBER(Cek_C!O63),Cek_C!O63*6.25,0)+IF(ISNUMBER(Cek_C!O71),Cek_C!O71*6.25,0)+IF(ISNUMBER(Cek_C!O77),Cek_C!O77*6.25,0))/(IF(ISNUMBER(Cek_C!O5),6.25,0)+IF(ISNUMBER(Cek_C!O11),6.25,0)+IF(ISNUMBER(Cek_C!O17),6.25,0)+IF(ISNUMBER(Cek_C!O23),6.25,0)+IF(ISNUMBER(Cek_C!O31),6.25,0)+IF(ISNUMBER(Cek_C!O37),6.25,0)+IF(ISNUMBER(Cek_C!O43),6.25,0)+IF(ISNUMBER(Cek_C!O51),6.25,0)+IF(ISNUMBER(Cek_C!O57),6.25,0)+IF(ISNUMBER(Cek_C!O63),6.25,0)+IF(ISNUMBER(Cek_C!O71),6.25,0)+IF(ISNUMBER(Cek_C!O77),6.25,0)))</f>
        <v/>
      </c>
      <c r="P5" s="9" t="str">
        <f>IF((IF(ISNUMBER(Cek_C!P5),6.25,0)+IF(ISNUMBER(Cek_C!P11),6.25,0)+IF(ISNUMBER(Cek_C!P17),6.25,0)+IF(ISNUMBER(Cek_C!P23),6.25,0)+IF(ISNUMBER(Cek_C!P31),6.25,0)+IF(ISNUMBER(Cek_C!P37),6.25,0)+IF(ISNUMBER(Cek_C!P43),6.25,0)+IF(ISNUMBER(Cek_C!P51),6.25,0)+IF(ISNUMBER(Cek_C!P57),6.25,0)+IF(ISNUMBER(Cek_C!P63),6.25,0)+IF(ISNUMBER(Cek_C!P71),6.25,0)+IF(ISNUMBER(Cek_C!P77),6.25,0))=0,"",(IF(ISNUMBER(Cek_C!P5),Cek_C!P5*6.25,0)+IF(ISNUMBER(Cek_C!P11),Cek_C!P11*6.25,0)+IF(ISNUMBER(Cek_C!P17),Cek_C!P17*6.25,0)+IF(ISNUMBER(Cek_C!P23),Cek_C!P23*6.25,0)+IF(ISNUMBER(Cek_C!P31),Cek_C!P31*6.25,0)+IF(ISNUMBER(Cek_C!P37),Cek_C!P37*6.25,0)+IF(ISNUMBER(Cek_C!P43),Cek_C!P43*6.25,0)+IF(ISNUMBER(Cek_C!P51),Cek_C!P51*6.25,0)+IF(ISNUMBER(Cek_C!P57),Cek_C!P57*6.25,0)+IF(ISNUMBER(Cek_C!P63),Cek_C!P63*6.25,0)+IF(ISNUMBER(Cek_C!P71),Cek_C!P71*6.25,0)+IF(ISNUMBER(Cek_C!P77),Cek_C!P77*6.25,0))/(IF(ISNUMBER(Cek_C!P5),6.25,0)+IF(ISNUMBER(Cek_C!P11),6.25,0)+IF(ISNUMBER(Cek_C!P17),6.25,0)+IF(ISNUMBER(Cek_C!P23),6.25,0)+IF(ISNUMBER(Cek_C!P31),6.25,0)+IF(ISNUMBER(Cek_C!P37),6.25,0)+IF(ISNUMBER(Cek_C!P43),6.25,0)+IF(ISNUMBER(Cek_C!P51),6.25,0)+IF(ISNUMBER(Cek_C!P57),6.25,0)+IF(ISNUMBER(Cek_C!P63),6.25,0)+IF(ISNUMBER(Cek_C!P71),6.25,0)+IF(ISNUMBER(Cek_C!P77),6.25,0)))</f>
        <v/>
      </c>
      <c r="Q5" s="9" t="str">
        <f>IF((IF(ISNUMBER(Cek_C!Q5),6.25,0)+IF(ISNUMBER(Cek_C!Q11),6.25,0)+IF(ISNUMBER(Cek_C!Q17),6.25,0)+IF(ISNUMBER(Cek_C!Q23),6.25,0)+IF(ISNUMBER(Cek_C!Q31),6.25,0)+IF(ISNUMBER(Cek_C!Q37),6.25,0)+IF(ISNUMBER(Cek_C!Q43),6.25,0)+IF(ISNUMBER(Cek_C!Q51),6.25,0)+IF(ISNUMBER(Cek_C!Q57),6.25,0)+IF(ISNUMBER(Cek_C!Q63),6.25,0)+IF(ISNUMBER(Cek_C!Q71),6.25,0)+IF(ISNUMBER(Cek_C!Q77),6.25,0))=0,"",(IF(ISNUMBER(Cek_C!Q5),Cek_C!Q5*6.25,0)+IF(ISNUMBER(Cek_C!Q11),Cek_C!Q11*6.25,0)+IF(ISNUMBER(Cek_C!Q17),Cek_C!Q17*6.25,0)+IF(ISNUMBER(Cek_C!Q23),Cek_C!Q23*6.25,0)+IF(ISNUMBER(Cek_C!Q31),Cek_C!Q31*6.25,0)+IF(ISNUMBER(Cek_C!Q37),Cek_C!Q37*6.25,0)+IF(ISNUMBER(Cek_C!Q43),Cek_C!Q43*6.25,0)+IF(ISNUMBER(Cek_C!Q51),Cek_C!Q51*6.25,0)+IF(ISNUMBER(Cek_C!Q57),Cek_C!Q57*6.25,0)+IF(ISNUMBER(Cek_C!Q63),Cek_C!Q63*6.25,0)+IF(ISNUMBER(Cek_C!Q71),Cek_C!Q71*6.25,0)+IF(ISNUMBER(Cek_C!Q77),Cek_C!Q77*6.25,0))/(IF(ISNUMBER(Cek_C!Q5),6.25,0)+IF(ISNUMBER(Cek_C!Q11),6.25,0)+IF(ISNUMBER(Cek_C!Q17),6.25,0)+IF(ISNUMBER(Cek_C!Q23),6.25,0)+IF(ISNUMBER(Cek_C!Q31),6.25,0)+IF(ISNUMBER(Cek_C!Q37),6.25,0)+IF(ISNUMBER(Cek_C!Q43),6.25,0)+IF(ISNUMBER(Cek_C!Q51),6.25,0)+IF(ISNUMBER(Cek_C!Q57),6.25,0)+IF(ISNUMBER(Cek_C!Q63),6.25,0)+IF(ISNUMBER(Cek_C!Q71),6.25,0)+IF(ISNUMBER(Cek_C!Q77),6.25,0)))</f>
        <v/>
      </c>
      <c r="R5" s="9" t="str">
        <f>IF((IF(ISNUMBER(Cek_C!R5),6.25,0)+IF(ISNUMBER(Cek_C!R11),6.25,0)+IF(ISNUMBER(Cek_C!R17),6.25,0)+IF(ISNUMBER(Cek_C!R23),6.25,0)+IF(ISNUMBER(Cek_C!R31),6.25,0)+IF(ISNUMBER(Cek_C!R37),6.25,0)+IF(ISNUMBER(Cek_C!R43),6.25,0)+IF(ISNUMBER(Cek_C!R51),6.25,0)+IF(ISNUMBER(Cek_C!R57),6.25,0)+IF(ISNUMBER(Cek_C!R63),6.25,0)+IF(ISNUMBER(Cek_C!R71),6.25,0)+IF(ISNUMBER(Cek_C!R77),6.25,0))=0,"",(IF(ISNUMBER(Cek_C!R5),Cek_C!R5*6.25,0)+IF(ISNUMBER(Cek_C!R11),Cek_C!R11*6.25,0)+IF(ISNUMBER(Cek_C!R17),Cek_C!R17*6.25,0)+IF(ISNUMBER(Cek_C!R23),Cek_C!R23*6.25,0)+IF(ISNUMBER(Cek_C!R31),Cek_C!R31*6.25,0)+IF(ISNUMBER(Cek_C!R37),Cek_C!R37*6.25,0)+IF(ISNUMBER(Cek_C!R43),Cek_C!R43*6.25,0)+IF(ISNUMBER(Cek_C!R51),Cek_C!R51*6.25,0)+IF(ISNUMBER(Cek_C!R57),Cek_C!R57*6.25,0)+IF(ISNUMBER(Cek_C!R63),Cek_C!R63*6.25,0)+IF(ISNUMBER(Cek_C!R71),Cek_C!R71*6.25,0)+IF(ISNUMBER(Cek_C!R77),Cek_C!R77*6.25,0))/(IF(ISNUMBER(Cek_C!R5),6.25,0)+IF(ISNUMBER(Cek_C!R11),6.25,0)+IF(ISNUMBER(Cek_C!R17),6.25,0)+IF(ISNUMBER(Cek_C!R23),6.25,0)+IF(ISNUMBER(Cek_C!R31),6.25,0)+IF(ISNUMBER(Cek_C!R37),6.25,0)+IF(ISNUMBER(Cek_C!R43),6.25,0)+IF(ISNUMBER(Cek_C!R51),6.25,0)+IF(ISNUMBER(Cek_C!R57),6.25,0)+IF(ISNUMBER(Cek_C!R63),6.25,0)+IF(ISNUMBER(Cek_C!R71),6.25,0)+IF(ISNUMBER(Cek_C!R77),6.25,0)))</f>
        <v/>
      </c>
      <c r="S5" s="9" t="str">
        <f>IF((IF(ISNUMBER(Cek_C!S5),6.25,0)+IF(ISNUMBER(Cek_C!S11),6.25,0)+IF(ISNUMBER(Cek_C!S17),6.25,0)+IF(ISNUMBER(Cek_C!S23),6.25,0)+IF(ISNUMBER(Cek_C!S31),6.25,0)+IF(ISNUMBER(Cek_C!S37),6.25,0)+IF(ISNUMBER(Cek_C!S43),6.25,0)+IF(ISNUMBER(Cek_C!S51),6.25,0)+IF(ISNUMBER(Cek_C!S57),6.25,0)+IF(ISNUMBER(Cek_C!S63),6.25,0)+IF(ISNUMBER(Cek_C!S71),6.25,0)+IF(ISNUMBER(Cek_C!S77),6.25,0))=0,"",(IF(ISNUMBER(Cek_C!S5),Cek_C!S5*6.25,0)+IF(ISNUMBER(Cek_C!S11),Cek_C!S11*6.25,0)+IF(ISNUMBER(Cek_C!S17),Cek_C!S17*6.25,0)+IF(ISNUMBER(Cek_C!S23),Cek_C!S23*6.25,0)+IF(ISNUMBER(Cek_C!S31),Cek_C!S31*6.25,0)+IF(ISNUMBER(Cek_C!S37),Cek_C!S37*6.25,0)+IF(ISNUMBER(Cek_C!S43),Cek_C!S43*6.25,0)+IF(ISNUMBER(Cek_C!S51),Cek_C!S51*6.25,0)+IF(ISNUMBER(Cek_C!S57),Cek_C!S57*6.25,0)+IF(ISNUMBER(Cek_C!S63),Cek_C!S63*6.25,0)+IF(ISNUMBER(Cek_C!S71),Cek_C!S71*6.25,0)+IF(ISNUMBER(Cek_C!S77),Cek_C!S77*6.25,0))/(IF(ISNUMBER(Cek_C!S5),6.25,0)+IF(ISNUMBER(Cek_C!S11),6.25,0)+IF(ISNUMBER(Cek_C!S17),6.25,0)+IF(ISNUMBER(Cek_C!S23),6.25,0)+IF(ISNUMBER(Cek_C!S31),6.25,0)+IF(ISNUMBER(Cek_C!S37),6.25,0)+IF(ISNUMBER(Cek_C!S43),6.25,0)+IF(ISNUMBER(Cek_C!S51),6.25,0)+IF(ISNUMBER(Cek_C!S57),6.25,0)+IF(ISNUMBER(Cek_C!S63),6.25,0)+IF(ISNUMBER(Cek_C!S71),6.25,0)+IF(ISNUMBER(Cek_C!S77),6.25,0)))</f>
        <v/>
      </c>
      <c r="T5" s="9" t="str">
        <f>IF((IF(ISNUMBER(Cek_C!T5),6.25,0)+IF(ISNUMBER(Cek_C!T11),6.25,0)+IF(ISNUMBER(Cek_C!T17),6.25,0)+IF(ISNUMBER(Cek_C!T23),6.25,0)+IF(ISNUMBER(Cek_C!T31),6.25,0)+IF(ISNUMBER(Cek_C!T37),6.25,0)+IF(ISNUMBER(Cek_C!T43),6.25,0)+IF(ISNUMBER(Cek_C!T51),6.25,0)+IF(ISNUMBER(Cek_C!T57),6.25,0)+IF(ISNUMBER(Cek_C!T63),6.25,0)+IF(ISNUMBER(Cek_C!T71),6.25,0)+IF(ISNUMBER(Cek_C!T77),6.25,0))=0,"",(IF(ISNUMBER(Cek_C!T5),Cek_C!T5*6.25,0)+IF(ISNUMBER(Cek_C!T11),Cek_C!T11*6.25,0)+IF(ISNUMBER(Cek_C!T17),Cek_C!T17*6.25,0)+IF(ISNUMBER(Cek_C!T23),Cek_C!T23*6.25,0)+IF(ISNUMBER(Cek_C!T31),Cek_C!T31*6.25,0)+IF(ISNUMBER(Cek_C!T37),Cek_C!T37*6.25,0)+IF(ISNUMBER(Cek_C!T43),Cek_C!T43*6.25,0)+IF(ISNUMBER(Cek_C!T51),Cek_C!T51*6.25,0)+IF(ISNUMBER(Cek_C!T57),Cek_C!T57*6.25,0)+IF(ISNUMBER(Cek_C!T63),Cek_C!T63*6.25,0)+IF(ISNUMBER(Cek_C!T71),Cek_C!T71*6.25,0)+IF(ISNUMBER(Cek_C!T77),Cek_C!T77*6.25,0))/(IF(ISNUMBER(Cek_C!T5),6.25,0)+IF(ISNUMBER(Cek_C!T11),6.25,0)+IF(ISNUMBER(Cek_C!T17),6.25,0)+IF(ISNUMBER(Cek_C!T23),6.25,0)+IF(ISNUMBER(Cek_C!T31),6.25,0)+IF(ISNUMBER(Cek_C!T37),6.25,0)+IF(ISNUMBER(Cek_C!T43),6.25,0)+IF(ISNUMBER(Cek_C!T51),6.25,0)+IF(ISNUMBER(Cek_C!T57),6.25,0)+IF(ISNUMBER(Cek_C!T63),6.25,0)+IF(ISNUMBER(Cek_C!T71),6.25,0)+IF(ISNUMBER(Cek_C!T77),6.25,0)))</f>
        <v/>
      </c>
      <c r="U5" s="9" t="str">
        <f>IF((IF(ISNUMBER(Cek_C!U5),6.25,0)+IF(ISNUMBER(Cek_C!U11),6.25,0)+IF(ISNUMBER(Cek_C!U17),6.25,0)+IF(ISNUMBER(Cek_C!U23),6.25,0)+IF(ISNUMBER(Cek_C!U31),6.25,0)+IF(ISNUMBER(Cek_C!U37),6.25,0)+IF(ISNUMBER(Cek_C!U43),6.25,0)+IF(ISNUMBER(Cek_C!U51),6.25,0)+IF(ISNUMBER(Cek_C!U57),6.25,0)+IF(ISNUMBER(Cek_C!U63),6.25,0)+IF(ISNUMBER(Cek_C!U71),6.25,0)+IF(ISNUMBER(Cek_C!U77),6.25,0))=0,"",(IF(ISNUMBER(Cek_C!U5),Cek_C!U5*6.25,0)+IF(ISNUMBER(Cek_C!U11),Cek_C!U11*6.25,0)+IF(ISNUMBER(Cek_C!U17),Cek_C!U17*6.25,0)+IF(ISNUMBER(Cek_C!U23),Cek_C!U23*6.25,0)+IF(ISNUMBER(Cek_C!U31),Cek_C!U31*6.25,0)+IF(ISNUMBER(Cek_C!U37),Cek_C!U37*6.25,0)+IF(ISNUMBER(Cek_C!U43),Cek_C!U43*6.25,0)+IF(ISNUMBER(Cek_C!U51),Cek_C!U51*6.25,0)+IF(ISNUMBER(Cek_C!U57),Cek_C!U57*6.25,0)+IF(ISNUMBER(Cek_C!U63),Cek_C!U63*6.25,0)+IF(ISNUMBER(Cek_C!U71),Cek_C!U71*6.25,0)+IF(ISNUMBER(Cek_C!U77),Cek_C!U77*6.25,0))/(IF(ISNUMBER(Cek_C!U5),6.25,0)+IF(ISNUMBER(Cek_C!U11),6.25,0)+IF(ISNUMBER(Cek_C!U17),6.25,0)+IF(ISNUMBER(Cek_C!U23),6.25,0)+IF(ISNUMBER(Cek_C!U31),6.25,0)+IF(ISNUMBER(Cek_C!U37),6.25,0)+IF(ISNUMBER(Cek_C!U43),6.25,0)+IF(ISNUMBER(Cek_C!U51),6.25,0)+IF(ISNUMBER(Cek_C!U57),6.25,0)+IF(ISNUMBER(Cek_C!U63),6.25,0)+IF(ISNUMBER(Cek_C!U71),6.25,0)+IF(ISNUMBER(Cek_C!U77),6.25,0)))</f>
        <v/>
      </c>
      <c r="V5" s="9" t="str">
        <f>IF((IF(ISNUMBER(Cek_C!V5),6.25,0)+IF(ISNUMBER(Cek_C!V11),6.25,0)+IF(ISNUMBER(Cek_C!V17),6.25,0)+IF(ISNUMBER(Cek_C!V23),6.25,0)+IF(ISNUMBER(Cek_C!V31),6.25,0)+IF(ISNUMBER(Cek_C!V37),6.25,0)+IF(ISNUMBER(Cek_C!V43),6.25,0)+IF(ISNUMBER(Cek_C!V51),6.25,0)+IF(ISNUMBER(Cek_C!V57),6.25,0)+IF(ISNUMBER(Cek_C!V63),6.25,0)+IF(ISNUMBER(Cek_C!V71),6.25,0)+IF(ISNUMBER(Cek_C!V77),6.25,0))=0,"",(IF(ISNUMBER(Cek_C!V5),Cek_C!V5*6.25,0)+IF(ISNUMBER(Cek_C!V11),Cek_C!V11*6.25,0)+IF(ISNUMBER(Cek_C!V17),Cek_C!V17*6.25,0)+IF(ISNUMBER(Cek_C!V23),Cek_C!V23*6.25,0)+IF(ISNUMBER(Cek_C!V31),Cek_C!V31*6.25,0)+IF(ISNUMBER(Cek_C!V37),Cek_C!V37*6.25,0)+IF(ISNUMBER(Cek_C!V43),Cek_C!V43*6.25,0)+IF(ISNUMBER(Cek_C!V51),Cek_C!V51*6.25,0)+IF(ISNUMBER(Cek_C!V57),Cek_C!V57*6.25,0)+IF(ISNUMBER(Cek_C!V63),Cek_C!V63*6.25,0)+IF(ISNUMBER(Cek_C!V71),Cek_C!V71*6.25,0)+IF(ISNUMBER(Cek_C!V77),Cek_C!V77*6.25,0))/(IF(ISNUMBER(Cek_C!V5),6.25,0)+IF(ISNUMBER(Cek_C!V11),6.25,0)+IF(ISNUMBER(Cek_C!V17),6.25,0)+IF(ISNUMBER(Cek_C!V23),6.25,0)+IF(ISNUMBER(Cek_C!V31),6.25,0)+IF(ISNUMBER(Cek_C!V37),6.25,0)+IF(ISNUMBER(Cek_C!V43),6.25,0)+IF(ISNUMBER(Cek_C!V51),6.25,0)+IF(ISNUMBER(Cek_C!V57),6.25,0)+IF(ISNUMBER(Cek_C!V63),6.25,0)+IF(ISNUMBER(Cek_C!V71),6.25,0)+IF(ISNUMBER(Cek_C!V77),6.25,0)))</f>
        <v/>
      </c>
      <c r="W5" s="9" t="str">
        <f>IF((IF(ISNUMBER(Cek_C!W5),6.25,0)+IF(ISNUMBER(Cek_C!W11),6.25,0)+IF(ISNUMBER(Cek_C!W17),6.25,0)+IF(ISNUMBER(Cek_C!W23),6.25,0)+IF(ISNUMBER(Cek_C!W31),6.25,0)+IF(ISNUMBER(Cek_C!W37),6.25,0)+IF(ISNUMBER(Cek_C!W43),6.25,0)+IF(ISNUMBER(Cek_C!W51),6.25,0)+IF(ISNUMBER(Cek_C!W57),6.25,0)+IF(ISNUMBER(Cek_C!W63),6.25,0)+IF(ISNUMBER(Cek_C!W71),6.25,0)+IF(ISNUMBER(Cek_C!W77),6.25,0))=0,"",(IF(ISNUMBER(Cek_C!W5),Cek_C!W5*6.25,0)+IF(ISNUMBER(Cek_C!W11),Cek_C!W11*6.25,0)+IF(ISNUMBER(Cek_C!W17),Cek_C!W17*6.25,0)+IF(ISNUMBER(Cek_C!W23),Cek_C!W23*6.25,0)+IF(ISNUMBER(Cek_C!W31),Cek_C!W31*6.25,0)+IF(ISNUMBER(Cek_C!W37),Cek_C!W37*6.25,0)+IF(ISNUMBER(Cek_C!W43),Cek_C!W43*6.25,0)+IF(ISNUMBER(Cek_C!W51),Cek_C!W51*6.25,0)+IF(ISNUMBER(Cek_C!W57),Cek_C!W57*6.25,0)+IF(ISNUMBER(Cek_C!W63),Cek_C!W63*6.25,0)+IF(ISNUMBER(Cek_C!W71),Cek_C!W71*6.25,0)+IF(ISNUMBER(Cek_C!W77),Cek_C!W77*6.25,0))/(IF(ISNUMBER(Cek_C!W5),6.25,0)+IF(ISNUMBER(Cek_C!W11),6.25,0)+IF(ISNUMBER(Cek_C!W17),6.25,0)+IF(ISNUMBER(Cek_C!W23),6.25,0)+IF(ISNUMBER(Cek_C!W31),6.25,0)+IF(ISNUMBER(Cek_C!W37),6.25,0)+IF(ISNUMBER(Cek_C!W43),6.25,0)+IF(ISNUMBER(Cek_C!W51),6.25,0)+IF(ISNUMBER(Cek_C!W57),6.25,0)+IF(ISNUMBER(Cek_C!W63),6.25,0)+IF(ISNUMBER(Cek_C!W71),6.25,0)+IF(ISNUMBER(Cek_C!W77),6.25,0)))</f>
        <v/>
      </c>
      <c r="X5" s="9" t="str">
        <f>IF((IF(ISNUMBER(Cek_C!X5),6.25,0)+IF(ISNUMBER(Cek_C!X11),6.25,0)+IF(ISNUMBER(Cek_C!X17),6.25,0)+IF(ISNUMBER(Cek_C!X23),6.25,0)+IF(ISNUMBER(Cek_C!X31),6.25,0)+IF(ISNUMBER(Cek_C!X37),6.25,0)+IF(ISNUMBER(Cek_C!X43),6.25,0)+IF(ISNUMBER(Cek_C!X51),6.25,0)+IF(ISNUMBER(Cek_C!X57),6.25,0)+IF(ISNUMBER(Cek_C!X63),6.25,0)+IF(ISNUMBER(Cek_C!X71),6.25,0)+IF(ISNUMBER(Cek_C!X77),6.25,0))=0,"",(IF(ISNUMBER(Cek_C!X5),Cek_C!X5*6.25,0)+IF(ISNUMBER(Cek_C!X11),Cek_C!X11*6.25,0)+IF(ISNUMBER(Cek_C!X17),Cek_C!X17*6.25,0)+IF(ISNUMBER(Cek_C!X23),Cek_C!X23*6.25,0)+IF(ISNUMBER(Cek_C!X31),Cek_C!X31*6.25,0)+IF(ISNUMBER(Cek_C!X37),Cek_C!X37*6.25,0)+IF(ISNUMBER(Cek_C!X43),Cek_C!X43*6.25,0)+IF(ISNUMBER(Cek_C!X51),Cek_C!X51*6.25,0)+IF(ISNUMBER(Cek_C!X57),Cek_C!X57*6.25,0)+IF(ISNUMBER(Cek_C!X63),Cek_C!X63*6.25,0)+IF(ISNUMBER(Cek_C!X71),Cek_C!X71*6.25,0)+IF(ISNUMBER(Cek_C!X77),Cek_C!X77*6.25,0))/(IF(ISNUMBER(Cek_C!X5),6.25,0)+IF(ISNUMBER(Cek_C!X11),6.25,0)+IF(ISNUMBER(Cek_C!X17),6.25,0)+IF(ISNUMBER(Cek_C!X23),6.25,0)+IF(ISNUMBER(Cek_C!X31),6.25,0)+IF(ISNUMBER(Cek_C!X37),6.25,0)+IF(ISNUMBER(Cek_C!X43),6.25,0)+IF(ISNUMBER(Cek_C!X51),6.25,0)+IF(ISNUMBER(Cek_C!X57),6.25,0)+IF(ISNUMBER(Cek_C!X63),6.25,0)+IF(ISNUMBER(Cek_C!X71),6.25,0)+IF(ISNUMBER(Cek_C!X77),6.25,0)))</f>
        <v/>
      </c>
      <c r="Y5" s="9" t="str">
        <f>IF((IF(ISNUMBER(Cek_C!Y5),6.25,0)+IF(ISNUMBER(Cek_C!Y11),6.25,0)+IF(ISNUMBER(Cek_C!Y17),6.25,0)+IF(ISNUMBER(Cek_C!Y23),6.25,0)+IF(ISNUMBER(Cek_C!Y31),6.25,0)+IF(ISNUMBER(Cek_C!Y37),6.25,0)+IF(ISNUMBER(Cek_C!Y43),6.25,0)+IF(ISNUMBER(Cek_C!Y51),6.25,0)+IF(ISNUMBER(Cek_C!Y57),6.25,0)+IF(ISNUMBER(Cek_C!Y63),6.25,0)+IF(ISNUMBER(Cek_C!Y71),6.25,0)+IF(ISNUMBER(Cek_C!Y77),6.25,0))=0,"",(IF(ISNUMBER(Cek_C!Y5),Cek_C!Y5*6.25,0)+IF(ISNUMBER(Cek_C!Y11),Cek_C!Y11*6.25,0)+IF(ISNUMBER(Cek_C!Y17),Cek_C!Y17*6.25,0)+IF(ISNUMBER(Cek_C!Y23),Cek_C!Y23*6.25,0)+IF(ISNUMBER(Cek_C!Y31),Cek_C!Y31*6.25,0)+IF(ISNUMBER(Cek_C!Y37),Cek_C!Y37*6.25,0)+IF(ISNUMBER(Cek_C!Y43),Cek_C!Y43*6.25,0)+IF(ISNUMBER(Cek_C!Y51),Cek_C!Y51*6.25,0)+IF(ISNUMBER(Cek_C!Y57),Cek_C!Y57*6.25,0)+IF(ISNUMBER(Cek_C!Y63),Cek_C!Y63*6.25,0)+IF(ISNUMBER(Cek_C!Y71),Cek_C!Y71*6.25,0)+IF(ISNUMBER(Cek_C!Y77),Cek_C!Y77*6.25,0))/(IF(ISNUMBER(Cek_C!Y5),6.25,0)+IF(ISNUMBER(Cek_C!Y11),6.25,0)+IF(ISNUMBER(Cek_C!Y17),6.25,0)+IF(ISNUMBER(Cek_C!Y23),6.25,0)+IF(ISNUMBER(Cek_C!Y31),6.25,0)+IF(ISNUMBER(Cek_C!Y37),6.25,0)+IF(ISNUMBER(Cek_C!Y43),6.25,0)+IF(ISNUMBER(Cek_C!Y51),6.25,0)+IF(ISNUMBER(Cek_C!Y57),6.25,0)+IF(ISNUMBER(Cek_C!Y63),6.25,0)+IF(ISNUMBER(Cek_C!Y71),6.25,0)+IF(ISNUMBER(Cek_C!Y77),6.25,0)))</f>
        <v/>
      </c>
      <c r="Z5" s="9" t="str">
        <f>_xlfn.IFERROR(AVERAGE(E5:Y5),"")</f>
        <v/>
      </c>
    </row>
    <row r="6" spans="8:8" ht="26.0" customHeight="1">
      <c r="A6" s="7">
        <v>3.0</v>
      </c>
      <c r="B6" s="42" t="s">
        <v>14</v>
      </c>
      <c r="C6" s="43" t="s">
        <v>457</v>
      </c>
      <c r="D6" s="32"/>
      <c r="E6" s="9" t="str">
        <f>IF((IF(ISNUMBER(Cek_B!E5),7,0)+IF(ISNUMBER(Cek_B!E11),7,0)+IF(ISNUMBER(Cek_B!E17),6,0)+IF(ISNUMBER(Cek_B!E23),7,0)+IF(ISNUMBER(Cek_B!E29),6,0)+IF(ISNUMBER(Cek_B!E37),6,0)+IF(ISNUMBER(Cek_B!E43),7,0)+IF(ISNUMBER(Cek_B!E49),7,0)+IF(ISNUMBER(Cek_B!E55),6,0)+IF(ISNUMBER(Cek_B!E61),7,0))=0,"",(IF(ISNUMBER(Cek_B!E5),Cek_B!E5*7,0)+IF(ISNUMBER(Cek_B!E11),Cek_B!E11*7,0)+IF(ISNUMBER(Cek_B!E17),Cek_B!E17*6,0)+IF(ISNUMBER(Cek_B!E23),Cek_B!E23*7,0)+IF(ISNUMBER(Cek_B!E29),Cek_B!E29*6,0)+IF(ISNUMBER(Cek_B!E37),Cek_B!E37*6,0)+IF(ISNUMBER(Cek_B!E43),Cek_B!E43*7,0)+IF(ISNUMBER(Cek_B!E49),Cek_B!E49*7,0)+IF(ISNUMBER(Cek_B!E55),Cek_B!E55*6,0)+IF(ISNUMBER(Cek_B!E61),Cek_B!E61*7,0))/(IF(ISNUMBER(Cek_B!E5),7,0)+IF(ISNUMBER(Cek_B!E11),7,0)+IF(ISNUMBER(Cek_B!E17),6,0)+IF(ISNUMBER(Cek_B!E23),7,0)+IF(ISNUMBER(Cek_B!E29),6,0)+IF(ISNUMBER(Cek_B!E37),6,0)+IF(ISNUMBER(Cek_B!E43),7,0)+IF(ISNUMBER(Cek_B!E49),7,0)+IF(ISNUMBER(Cek_B!E55),6,0)+IF(ISNUMBER(Cek_B!E61),7,0)))</f>
        <v/>
      </c>
      <c r="F6" s="9" t="str">
        <f>IF((IF(ISNUMBER(Cek_B!F5),7,0)+IF(ISNUMBER(Cek_B!F11),7,0)+IF(ISNUMBER(Cek_B!F17),6,0)+IF(ISNUMBER(Cek_B!F23),7,0)+IF(ISNUMBER(Cek_B!F29),6,0)+IF(ISNUMBER(Cek_B!F37),6,0)+IF(ISNUMBER(Cek_B!F43),7,0)+IF(ISNUMBER(Cek_B!F49),7,0)+IF(ISNUMBER(Cek_B!F55),6,0)+IF(ISNUMBER(Cek_B!F61),7,0))=0,"",(IF(ISNUMBER(Cek_B!F5),Cek_B!F5*7,0)+IF(ISNUMBER(Cek_B!F11),Cek_B!F11*7,0)+IF(ISNUMBER(Cek_B!F17),Cek_B!F17*6,0)+IF(ISNUMBER(Cek_B!F23),Cek_B!F23*7,0)+IF(ISNUMBER(Cek_B!F29),Cek_B!F29*6,0)+IF(ISNUMBER(Cek_B!F37),Cek_B!F37*6,0)+IF(ISNUMBER(Cek_B!F43),Cek_B!F43*7,0)+IF(ISNUMBER(Cek_B!F49),Cek_B!F49*7,0)+IF(ISNUMBER(Cek_B!F55),Cek_B!F55*6,0)+IF(ISNUMBER(Cek_B!F61),Cek_B!F61*7,0))/(IF(ISNUMBER(Cek_B!F5),7,0)+IF(ISNUMBER(Cek_B!F11),7,0)+IF(ISNUMBER(Cek_B!F17),6,0)+IF(ISNUMBER(Cek_B!F23),7,0)+IF(ISNUMBER(Cek_B!F29),6,0)+IF(ISNUMBER(Cek_B!F37),6,0)+IF(ISNUMBER(Cek_B!F43),7,0)+IF(ISNUMBER(Cek_B!F49),7,0)+IF(ISNUMBER(Cek_B!F55),6,0)+IF(ISNUMBER(Cek_B!F61),7,0)))</f>
        <v/>
      </c>
      <c r="G6" s="9" t="str">
        <f>IF((IF(ISNUMBER(Cek_B!G5),7,0)+IF(ISNUMBER(Cek_B!G11),7,0)+IF(ISNUMBER(Cek_B!G17),6,0)+IF(ISNUMBER(Cek_B!G23),7,0)+IF(ISNUMBER(Cek_B!G29),6,0)+IF(ISNUMBER(Cek_B!G37),6,0)+IF(ISNUMBER(Cek_B!G43),7,0)+IF(ISNUMBER(Cek_B!G49),7,0)+IF(ISNUMBER(Cek_B!G55),6,0)+IF(ISNUMBER(Cek_B!G61),7,0))=0,"",(IF(ISNUMBER(Cek_B!G5),Cek_B!G5*7,0)+IF(ISNUMBER(Cek_B!G11),Cek_B!G11*7,0)+IF(ISNUMBER(Cek_B!G17),Cek_B!G17*6,0)+IF(ISNUMBER(Cek_B!G23),Cek_B!G23*7,0)+IF(ISNUMBER(Cek_B!G29),Cek_B!G29*6,0)+IF(ISNUMBER(Cek_B!G37),Cek_B!G37*6,0)+IF(ISNUMBER(Cek_B!G43),Cek_B!G43*7,0)+IF(ISNUMBER(Cek_B!G49),Cek_B!G49*7,0)+IF(ISNUMBER(Cek_B!G55),Cek_B!G55*6,0)+IF(ISNUMBER(Cek_B!G61),Cek_B!G61*7,0))/(IF(ISNUMBER(Cek_B!G5),7,0)+IF(ISNUMBER(Cek_B!G11),7,0)+IF(ISNUMBER(Cek_B!G17),6,0)+IF(ISNUMBER(Cek_B!G23),7,0)+IF(ISNUMBER(Cek_B!G29),6,0)+IF(ISNUMBER(Cek_B!G37),6,0)+IF(ISNUMBER(Cek_B!G43),7,0)+IF(ISNUMBER(Cek_B!G49),7,0)+IF(ISNUMBER(Cek_B!G55),6,0)+IF(ISNUMBER(Cek_B!G61),7,0)))</f>
        <v/>
      </c>
      <c r="H6" s="9" t="str">
        <f>IF((IF(ISNUMBER(Cek_B!H5),7,0)+IF(ISNUMBER(Cek_B!H11),7,0)+IF(ISNUMBER(Cek_B!H17),6,0)+IF(ISNUMBER(Cek_B!H23),7,0)+IF(ISNUMBER(Cek_B!H29),6,0)+IF(ISNUMBER(Cek_B!H37),6,0)+IF(ISNUMBER(Cek_B!H43),7,0)+IF(ISNUMBER(Cek_B!H49),7,0)+IF(ISNUMBER(Cek_B!H55),6,0)+IF(ISNUMBER(Cek_B!H61),7,0))=0,"",(IF(ISNUMBER(Cek_B!H5),Cek_B!H5*7,0)+IF(ISNUMBER(Cek_B!H11),Cek_B!H11*7,0)+IF(ISNUMBER(Cek_B!H17),Cek_B!H17*6,0)+IF(ISNUMBER(Cek_B!H23),Cek_B!H23*7,0)+IF(ISNUMBER(Cek_B!H29),Cek_B!H29*6,0)+IF(ISNUMBER(Cek_B!H37),Cek_B!H37*6,0)+IF(ISNUMBER(Cek_B!H43),Cek_B!H43*7,0)+IF(ISNUMBER(Cek_B!H49),Cek_B!H49*7,0)+IF(ISNUMBER(Cek_B!H55),Cek_B!H55*6,0)+IF(ISNUMBER(Cek_B!H61),Cek_B!H61*7,0))/(IF(ISNUMBER(Cek_B!H5),7,0)+IF(ISNUMBER(Cek_B!H11),7,0)+IF(ISNUMBER(Cek_B!H17),6,0)+IF(ISNUMBER(Cek_B!H23),7,0)+IF(ISNUMBER(Cek_B!H29),6,0)+IF(ISNUMBER(Cek_B!H37),6,0)+IF(ISNUMBER(Cek_B!H43),7,0)+IF(ISNUMBER(Cek_B!H49),7,0)+IF(ISNUMBER(Cek_B!H55),6,0)+IF(ISNUMBER(Cek_B!H61),7,0)))</f>
        <v/>
      </c>
      <c r="I6" s="9" t="str">
        <f>IF((IF(ISNUMBER(Cek_B!I5),7,0)+IF(ISNUMBER(Cek_B!I11),7,0)+IF(ISNUMBER(Cek_B!I17),6,0)+IF(ISNUMBER(Cek_B!I23),7,0)+IF(ISNUMBER(Cek_B!I29),6,0)+IF(ISNUMBER(Cek_B!I37),6,0)+IF(ISNUMBER(Cek_B!I43),7,0)+IF(ISNUMBER(Cek_B!I49),7,0)+IF(ISNUMBER(Cek_B!I55),6,0)+IF(ISNUMBER(Cek_B!I61),7,0))=0,"",(IF(ISNUMBER(Cek_B!I5),Cek_B!I5*7,0)+IF(ISNUMBER(Cek_B!I11),Cek_B!I11*7,0)+IF(ISNUMBER(Cek_B!I17),Cek_B!I17*6,0)+IF(ISNUMBER(Cek_B!I23),Cek_B!I23*7,0)+IF(ISNUMBER(Cek_B!I29),Cek_B!I29*6,0)+IF(ISNUMBER(Cek_B!I37),Cek_B!I37*6,0)+IF(ISNUMBER(Cek_B!I43),Cek_B!I43*7,0)+IF(ISNUMBER(Cek_B!I49),Cek_B!I49*7,0)+IF(ISNUMBER(Cek_B!I55),Cek_B!I55*6,0)+IF(ISNUMBER(Cek_B!I61),Cek_B!I61*7,0))/(IF(ISNUMBER(Cek_B!I5),7,0)+IF(ISNUMBER(Cek_B!I11),7,0)+IF(ISNUMBER(Cek_B!I17),6,0)+IF(ISNUMBER(Cek_B!I23),7,0)+IF(ISNUMBER(Cek_B!I29),6,0)+IF(ISNUMBER(Cek_B!I37),6,0)+IF(ISNUMBER(Cek_B!I43),7,0)+IF(ISNUMBER(Cek_B!I49),7,0)+IF(ISNUMBER(Cek_B!I55),6,0)+IF(ISNUMBER(Cek_B!I61),7,0)))</f>
        <v/>
      </c>
      <c r="J6" s="9" t="str">
        <f>IF((IF(ISNUMBER(Cek_B!J5),7,0)+IF(ISNUMBER(Cek_B!J11),7,0)+IF(ISNUMBER(Cek_B!J17),6,0)+IF(ISNUMBER(Cek_B!J23),7,0)+IF(ISNUMBER(Cek_B!J29),6,0)+IF(ISNUMBER(Cek_B!J37),6,0)+IF(ISNUMBER(Cek_B!J43),7,0)+IF(ISNUMBER(Cek_B!J49),7,0)+IF(ISNUMBER(Cek_B!J55),6,0)+IF(ISNUMBER(Cek_B!J61),7,0))=0,"",(IF(ISNUMBER(Cek_B!J5),Cek_B!J5*7,0)+IF(ISNUMBER(Cek_B!J11),Cek_B!J11*7,0)+IF(ISNUMBER(Cek_B!J17),Cek_B!J17*6,0)+IF(ISNUMBER(Cek_B!J23),Cek_B!J23*7,0)+IF(ISNUMBER(Cek_B!J29),Cek_B!J29*6,0)+IF(ISNUMBER(Cek_B!J37),Cek_B!J37*6,0)+IF(ISNUMBER(Cek_B!J43),Cek_B!J43*7,0)+IF(ISNUMBER(Cek_B!J49),Cek_B!J49*7,0)+IF(ISNUMBER(Cek_B!J55),Cek_B!J55*6,0)+IF(ISNUMBER(Cek_B!J61),Cek_B!J61*7,0))/(IF(ISNUMBER(Cek_B!J5),7,0)+IF(ISNUMBER(Cek_B!J11),7,0)+IF(ISNUMBER(Cek_B!J17),6,0)+IF(ISNUMBER(Cek_B!J23),7,0)+IF(ISNUMBER(Cek_B!J29),6,0)+IF(ISNUMBER(Cek_B!J37),6,0)+IF(ISNUMBER(Cek_B!J43),7,0)+IF(ISNUMBER(Cek_B!J49),7,0)+IF(ISNUMBER(Cek_B!J55),6,0)+IF(ISNUMBER(Cek_B!J61),7,0)))</f>
        <v/>
      </c>
      <c r="K6" s="9" t="str">
        <f>IF((IF(ISNUMBER(Cek_B!K5),7,0)+IF(ISNUMBER(Cek_B!K11),7,0)+IF(ISNUMBER(Cek_B!K17),6,0)+IF(ISNUMBER(Cek_B!K23),7,0)+IF(ISNUMBER(Cek_B!K29),6,0)+IF(ISNUMBER(Cek_B!K37),6,0)+IF(ISNUMBER(Cek_B!K43),7,0)+IF(ISNUMBER(Cek_B!K49),7,0)+IF(ISNUMBER(Cek_B!K55),6,0)+IF(ISNUMBER(Cek_B!K61),7,0))=0,"",(IF(ISNUMBER(Cek_B!K5),Cek_B!K5*7,0)+IF(ISNUMBER(Cek_B!K11),Cek_B!K11*7,0)+IF(ISNUMBER(Cek_B!K17),Cek_B!K17*6,0)+IF(ISNUMBER(Cek_B!K23),Cek_B!K23*7,0)+IF(ISNUMBER(Cek_B!K29),Cek_B!K29*6,0)+IF(ISNUMBER(Cek_B!K37),Cek_B!K37*6,0)+IF(ISNUMBER(Cek_B!K43),Cek_B!K43*7,0)+IF(ISNUMBER(Cek_B!K49),Cek_B!K49*7,0)+IF(ISNUMBER(Cek_B!K55),Cek_B!K55*6,0)+IF(ISNUMBER(Cek_B!K61),Cek_B!K61*7,0))/(IF(ISNUMBER(Cek_B!K5),7,0)+IF(ISNUMBER(Cek_B!K11),7,0)+IF(ISNUMBER(Cek_B!K17),6,0)+IF(ISNUMBER(Cek_B!K23),7,0)+IF(ISNUMBER(Cek_B!K29),6,0)+IF(ISNUMBER(Cek_B!K37),6,0)+IF(ISNUMBER(Cek_B!K43),7,0)+IF(ISNUMBER(Cek_B!K49),7,0)+IF(ISNUMBER(Cek_B!K55),6,0)+IF(ISNUMBER(Cek_B!K61),7,0)))</f>
        <v/>
      </c>
      <c r="L6" s="9" t="str">
        <f>IF((IF(ISNUMBER(Cek_B!L5),7,0)+IF(ISNUMBER(Cek_B!L11),7,0)+IF(ISNUMBER(Cek_B!L17),6,0)+IF(ISNUMBER(Cek_B!L23),7,0)+IF(ISNUMBER(Cek_B!L29),6,0)+IF(ISNUMBER(Cek_B!L37),6,0)+IF(ISNUMBER(Cek_B!L43),7,0)+IF(ISNUMBER(Cek_B!L49),7,0)+IF(ISNUMBER(Cek_B!L55),6,0)+IF(ISNUMBER(Cek_B!L61),7,0))=0,"",(IF(ISNUMBER(Cek_B!L5),Cek_B!L5*7,0)+IF(ISNUMBER(Cek_B!L11),Cek_B!L11*7,0)+IF(ISNUMBER(Cek_B!L17),Cek_B!L17*6,0)+IF(ISNUMBER(Cek_B!L23),Cek_B!L23*7,0)+IF(ISNUMBER(Cek_B!L29),Cek_B!L29*6,0)+IF(ISNUMBER(Cek_B!L37),Cek_B!L37*6,0)+IF(ISNUMBER(Cek_B!L43),Cek_B!L43*7,0)+IF(ISNUMBER(Cek_B!L49),Cek_B!L49*7,0)+IF(ISNUMBER(Cek_B!L55),Cek_B!L55*6,0)+IF(ISNUMBER(Cek_B!L61),Cek_B!L61*7,0))/(IF(ISNUMBER(Cek_B!L5),7,0)+IF(ISNUMBER(Cek_B!L11),7,0)+IF(ISNUMBER(Cek_B!L17),6,0)+IF(ISNUMBER(Cek_B!L23),7,0)+IF(ISNUMBER(Cek_B!L29),6,0)+IF(ISNUMBER(Cek_B!L37),6,0)+IF(ISNUMBER(Cek_B!L43),7,0)+IF(ISNUMBER(Cek_B!L49),7,0)+IF(ISNUMBER(Cek_B!L55),6,0)+IF(ISNUMBER(Cek_B!L61),7,0)))</f>
        <v/>
      </c>
      <c r="M6" s="9" t="str">
        <f>IF((IF(ISNUMBER(Cek_B!M5),7,0)+IF(ISNUMBER(Cek_B!M11),7,0)+IF(ISNUMBER(Cek_B!M17),6,0)+IF(ISNUMBER(Cek_B!M23),7,0)+IF(ISNUMBER(Cek_B!M29),6,0)+IF(ISNUMBER(Cek_B!M37),6,0)+IF(ISNUMBER(Cek_B!M43),7,0)+IF(ISNUMBER(Cek_B!M49),7,0)+IF(ISNUMBER(Cek_B!M55),6,0)+IF(ISNUMBER(Cek_B!M61),7,0))=0,"",(IF(ISNUMBER(Cek_B!M5),Cek_B!M5*7,0)+IF(ISNUMBER(Cek_B!M11),Cek_B!M11*7,0)+IF(ISNUMBER(Cek_B!M17),Cek_B!M17*6,0)+IF(ISNUMBER(Cek_B!M23),Cek_B!M23*7,0)+IF(ISNUMBER(Cek_B!M29),Cek_B!M29*6,0)+IF(ISNUMBER(Cek_B!M37),Cek_B!M37*6,0)+IF(ISNUMBER(Cek_B!M43),Cek_B!M43*7,0)+IF(ISNUMBER(Cek_B!M49),Cek_B!M49*7,0)+IF(ISNUMBER(Cek_B!M55),Cek_B!M55*6,0)+IF(ISNUMBER(Cek_B!M61),Cek_B!M61*7,0))/(IF(ISNUMBER(Cek_B!M5),7,0)+IF(ISNUMBER(Cek_B!M11),7,0)+IF(ISNUMBER(Cek_B!M17),6,0)+IF(ISNUMBER(Cek_B!M23),7,0)+IF(ISNUMBER(Cek_B!M29),6,0)+IF(ISNUMBER(Cek_B!M37),6,0)+IF(ISNUMBER(Cek_B!M43),7,0)+IF(ISNUMBER(Cek_B!M49),7,0)+IF(ISNUMBER(Cek_B!M55),6,0)+IF(ISNUMBER(Cek_B!M61),7,0)))</f>
        <v/>
      </c>
      <c r="N6" s="9" t="str">
        <f>IF((IF(ISNUMBER(Cek_B!N5),7,0)+IF(ISNUMBER(Cek_B!N11),7,0)+IF(ISNUMBER(Cek_B!N17),6,0)+IF(ISNUMBER(Cek_B!N23),7,0)+IF(ISNUMBER(Cek_B!N29),6,0)+IF(ISNUMBER(Cek_B!N37),6,0)+IF(ISNUMBER(Cek_B!N43),7,0)+IF(ISNUMBER(Cek_B!N49),7,0)+IF(ISNUMBER(Cek_B!N55),6,0)+IF(ISNUMBER(Cek_B!N61),7,0))=0,"",(IF(ISNUMBER(Cek_B!N5),Cek_B!N5*7,0)+IF(ISNUMBER(Cek_B!N11),Cek_B!N11*7,0)+IF(ISNUMBER(Cek_B!N17),Cek_B!N17*6,0)+IF(ISNUMBER(Cek_B!N23),Cek_B!N23*7,0)+IF(ISNUMBER(Cek_B!N29),Cek_B!N29*6,0)+IF(ISNUMBER(Cek_B!N37),Cek_B!N37*6,0)+IF(ISNUMBER(Cek_B!N43),Cek_B!N43*7,0)+IF(ISNUMBER(Cek_B!N49),Cek_B!N49*7,0)+IF(ISNUMBER(Cek_B!N55),Cek_B!N55*6,0)+IF(ISNUMBER(Cek_B!N61),Cek_B!N61*7,0))/(IF(ISNUMBER(Cek_B!N5),7,0)+IF(ISNUMBER(Cek_B!N11),7,0)+IF(ISNUMBER(Cek_B!N17),6,0)+IF(ISNUMBER(Cek_B!N23),7,0)+IF(ISNUMBER(Cek_B!N29),6,0)+IF(ISNUMBER(Cek_B!N37),6,0)+IF(ISNUMBER(Cek_B!N43),7,0)+IF(ISNUMBER(Cek_B!N49),7,0)+IF(ISNUMBER(Cek_B!N55),6,0)+IF(ISNUMBER(Cek_B!N61),7,0)))</f>
        <v/>
      </c>
      <c r="O6" s="9" t="str">
        <f>IF((IF(ISNUMBER(Cek_B!O5),7,0)+IF(ISNUMBER(Cek_B!O11),7,0)+IF(ISNUMBER(Cek_B!O17),6,0)+IF(ISNUMBER(Cek_B!O23),7,0)+IF(ISNUMBER(Cek_B!O29),6,0)+IF(ISNUMBER(Cek_B!O37),6,0)+IF(ISNUMBER(Cek_B!O43),7,0)+IF(ISNUMBER(Cek_B!O49),7,0)+IF(ISNUMBER(Cek_B!O55),6,0)+IF(ISNUMBER(Cek_B!O61),7,0))=0,"",(IF(ISNUMBER(Cek_B!O5),Cek_B!O5*7,0)+IF(ISNUMBER(Cek_B!O11),Cek_B!O11*7,0)+IF(ISNUMBER(Cek_B!O17),Cek_B!O17*6,0)+IF(ISNUMBER(Cek_B!O23),Cek_B!O23*7,0)+IF(ISNUMBER(Cek_B!O29),Cek_B!O29*6,0)+IF(ISNUMBER(Cek_B!O37),Cek_B!O37*6,0)+IF(ISNUMBER(Cek_B!O43),Cek_B!O43*7,0)+IF(ISNUMBER(Cek_B!O49),Cek_B!O49*7,0)+IF(ISNUMBER(Cek_B!O55),Cek_B!O55*6,0)+IF(ISNUMBER(Cek_B!O61),Cek_B!O61*7,0))/(IF(ISNUMBER(Cek_B!O5),7,0)+IF(ISNUMBER(Cek_B!O11),7,0)+IF(ISNUMBER(Cek_B!O17),6,0)+IF(ISNUMBER(Cek_B!O23),7,0)+IF(ISNUMBER(Cek_B!O29),6,0)+IF(ISNUMBER(Cek_B!O37),6,0)+IF(ISNUMBER(Cek_B!O43),7,0)+IF(ISNUMBER(Cek_B!O49),7,0)+IF(ISNUMBER(Cek_B!O55),6,0)+IF(ISNUMBER(Cek_B!O61),7,0)))</f>
        <v/>
      </c>
      <c r="P6" s="9" t="str">
        <f>IF((IF(ISNUMBER(Cek_B!P5),7,0)+IF(ISNUMBER(Cek_B!P11),7,0)+IF(ISNUMBER(Cek_B!P17),6,0)+IF(ISNUMBER(Cek_B!P23),7,0)+IF(ISNUMBER(Cek_B!P29),6,0)+IF(ISNUMBER(Cek_B!P37),6,0)+IF(ISNUMBER(Cek_B!P43),7,0)+IF(ISNUMBER(Cek_B!P49),7,0)+IF(ISNUMBER(Cek_B!P55),6,0)+IF(ISNUMBER(Cek_B!P61),7,0))=0,"",(IF(ISNUMBER(Cek_B!P5),Cek_B!P5*7,0)+IF(ISNUMBER(Cek_B!P11),Cek_B!P11*7,0)+IF(ISNUMBER(Cek_B!P17),Cek_B!P17*6,0)+IF(ISNUMBER(Cek_B!P23),Cek_B!P23*7,0)+IF(ISNUMBER(Cek_B!P29),Cek_B!P29*6,0)+IF(ISNUMBER(Cek_B!P37),Cek_B!P37*6,0)+IF(ISNUMBER(Cek_B!P43),Cek_B!P43*7,0)+IF(ISNUMBER(Cek_B!P49),Cek_B!P49*7,0)+IF(ISNUMBER(Cek_B!P55),Cek_B!P55*6,0)+IF(ISNUMBER(Cek_B!P61),Cek_B!P61*7,0))/(IF(ISNUMBER(Cek_B!P5),7,0)+IF(ISNUMBER(Cek_B!P11),7,0)+IF(ISNUMBER(Cek_B!P17),6,0)+IF(ISNUMBER(Cek_B!P23),7,0)+IF(ISNUMBER(Cek_B!P29),6,0)+IF(ISNUMBER(Cek_B!P37),6,0)+IF(ISNUMBER(Cek_B!P43),7,0)+IF(ISNUMBER(Cek_B!P49),7,0)+IF(ISNUMBER(Cek_B!P55),6,0)+IF(ISNUMBER(Cek_B!P61),7,0)))</f>
        <v/>
      </c>
      <c r="Q6" s="9" t="str">
        <f>IF((IF(ISNUMBER(Cek_B!Q5),7,0)+IF(ISNUMBER(Cek_B!Q11),7,0)+IF(ISNUMBER(Cek_B!Q17),6,0)+IF(ISNUMBER(Cek_B!Q23),7,0)+IF(ISNUMBER(Cek_B!Q29),6,0)+IF(ISNUMBER(Cek_B!Q37),6,0)+IF(ISNUMBER(Cek_B!Q43),7,0)+IF(ISNUMBER(Cek_B!Q49),7,0)+IF(ISNUMBER(Cek_B!Q55),6,0)+IF(ISNUMBER(Cek_B!Q61),7,0))=0,"",(IF(ISNUMBER(Cek_B!Q5),Cek_B!Q5*7,0)+IF(ISNUMBER(Cek_B!Q11),Cek_B!Q11*7,0)+IF(ISNUMBER(Cek_B!Q17),Cek_B!Q17*6,0)+IF(ISNUMBER(Cek_B!Q23),Cek_B!Q23*7,0)+IF(ISNUMBER(Cek_B!Q29),Cek_B!Q29*6,0)+IF(ISNUMBER(Cek_B!Q37),Cek_B!Q37*6,0)+IF(ISNUMBER(Cek_B!Q43),Cek_B!Q43*7,0)+IF(ISNUMBER(Cek_B!Q49),Cek_B!Q49*7,0)+IF(ISNUMBER(Cek_B!Q55),Cek_B!Q55*6,0)+IF(ISNUMBER(Cek_B!Q61),Cek_B!Q61*7,0))/(IF(ISNUMBER(Cek_B!Q5),7,0)+IF(ISNUMBER(Cek_B!Q11),7,0)+IF(ISNUMBER(Cek_B!Q17),6,0)+IF(ISNUMBER(Cek_B!Q23),7,0)+IF(ISNUMBER(Cek_B!Q29),6,0)+IF(ISNUMBER(Cek_B!Q37),6,0)+IF(ISNUMBER(Cek_B!Q43),7,0)+IF(ISNUMBER(Cek_B!Q49),7,0)+IF(ISNUMBER(Cek_B!Q55),6,0)+IF(ISNUMBER(Cek_B!Q61),7,0)))</f>
        <v/>
      </c>
      <c r="R6" s="9" t="str">
        <f>IF((IF(ISNUMBER(Cek_B!R5),7,0)+IF(ISNUMBER(Cek_B!R11),7,0)+IF(ISNUMBER(Cek_B!R17),6,0)+IF(ISNUMBER(Cek_B!R23),7,0)+IF(ISNUMBER(Cek_B!R29),6,0)+IF(ISNUMBER(Cek_B!R37),6,0)+IF(ISNUMBER(Cek_B!R43),7,0)+IF(ISNUMBER(Cek_B!R49),7,0)+IF(ISNUMBER(Cek_B!R55),6,0)+IF(ISNUMBER(Cek_B!R61),7,0))=0,"",(IF(ISNUMBER(Cek_B!R5),Cek_B!R5*7,0)+IF(ISNUMBER(Cek_B!R11),Cek_B!R11*7,0)+IF(ISNUMBER(Cek_B!R17),Cek_B!R17*6,0)+IF(ISNUMBER(Cek_B!R23),Cek_B!R23*7,0)+IF(ISNUMBER(Cek_B!R29),Cek_B!R29*6,0)+IF(ISNUMBER(Cek_B!R37),Cek_B!R37*6,0)+IF(ISNUMBER(Cek_B!R43),Cek_B!R43*7,0)+IF(ISNUMBER(Cek_B!R49),Cek_B!R49*7,0)+IF(ISNUMBER(Cek_B!R55),Cek_B!R55*6,0)+IF(ISNUMBER(Cek_B!R61),Cek_B!R61*7,0))/(IF(ISNUMBER(Cek_B!R5),7,0)+IF(ISNUMBER(Cek_B!R11),7,0)+IF(ISNUMBER(Cek_B!R17),6,0)+IF(ISNUMBER(Cek_B!R23),7,0)+IF(ISNUMBER(Cek_B!R29),6,0)+IF(ISNUMBER(Cek_B!R37),6,0)+IF(ISNUMBER(Cek_B!R43),7,0)+IF(ISNUMBER(Cek_B!R49),7,0)+IF(ISNUMBER(Cek_B!R55),6,0)+IF(ISNUMBER(Cek_B!R61),7,0)))</f>
        <v/>
      </c>
      <c r="S6" s="9" t="str">
        <f>IF((IF(ISNUMBER(Cek_B!S5),7,0)+IF(ISNUMBER(Cek_B!S11),7,0)+IF(ISNUMBER(Cek_B!S17),6,0)+IF(ISNUMBER(Cek_B!S23),7,0)+IF(ISNUMBER(Cek_B!S29),6,0)+IF(ISNUMBER(Cek_B!S37),6,0)+IF(ISNUMBER(Cek_B!S43),7,0)+IF(ISNUMBER(Cek_B!S49),7,0)+IF(ISNUMBER(Cek_B!S55),6,0)+IF(ISNUMBER(Cek_B!S61),7,0))=0,"",(IF(ISNUMBER(Cek_B!S5),Cek_B!S5*7,0)+IF(ISNUMBER(Cek_B!S11),Cek_B!S11*7,0)+IF(ISNUMBER(Cek_B!S17),Cek_B!S17*6,0)+IF(ISNUMBER(Cek_B!S23),Cek_B!S23*7,0)+IF(ISNUMBER(Cek_B!S29),Cek_B!S29*6,0)+IF(ISNUMBER(Cek_B!S37),Cek_B!S37*6,0)+IF(ISNUMBER(Cek_B!S43),Cek_B!S43*7,0)+IF(ISNUMBER(Cek_B!S49),Cek_B!S49*7,0)+IF(ISNUMBER(Cek_B!S55),Cek_B!S55*6,0)+IF(ISNUMBER(Cek_B!S61),Cek_B!S61*7,0))/(IF(ISNUMBER(Cek_B!S5),7,0)+IF(ISNUMBER(Cek_B!S11),7,0)+IF(ISNUMBER(Cek_B!S17),6,0)+IF(ISNUMBER(Cek_B!S23),7,0)+IF(ISNUMBER(Cek_B!S29),6,0)+IF(ISNUMBER(Cek_B!S37),6,0)+IF(ISNUMBER(Cek_B!S43),7,0)+IF(ISNUMBER(Cek_B!S49),7,0)+IF(ISNUMBER(Cek_B!S55),6,0)+IF(ISNUMBER(Cek_B!S61),7,0)))</f>
        <v/>
      </c>
      <c r="T6" s="9" t="str">
        <f>IF((IF(ISNUMBER(Cek_B!T5),7,0)+IF(ISNUMBER(Cek_B!T11),7,0)+IF(ISNUMBER(Cek_B!T17),6,0)+IF(ISNUMBER(Cek_B!T23),7,0)+IF(ISNUMBER(Cek_B!T29),6,0)+IF(ISNUMBER(Cek_B!T37),6,0)+IF(ISNUMBER(Cek_B!T43),7,0)+IF(ISNUMBER(Cek_B!T49),7,0)+IF(ISNUMBER(Cek_B!T55),6,0)+IF(ISNUMBER(Cek_B!T61),7,0))=0,"",(IF(ISNUMBER(Cek_B!T5),Cek_B!T5*7,0)+IF(ISNUMBER(Cek_B!T11),Cek_B!T11*7,0)+IF(ISNUMBER(Cek_B!T17),Cek_B!T17*6,0)+IF(ISNUMBER(Cek_B!T23),Cek_B!T23*7,0)+IF(ISNUMBER(Cek_B!T29),Cek_B!T29*6,0)+IF(ISNUMBER(Cek_B!T37),Cek_B!T37*6,0)+IF(ISNUMBER(Cek_B!T43),Cek_B!T43*7,0)+IF(ISNUMBER(Cek_B!T49),Cek_B!T49*7,0)+IF(ISNUMBER(Cek_B!T55),Cek_B!T55*6,0)+IF(ISNUMBER(Cek_B!T61),Cek_B!T61*7,0))/(IF(ISNUMBER(Cek_B!T5),7,0)+IF(ISNUMBER(Cek_B!T11),7,0)+IF(ISNUMBER(Cek_B!T17),6,0)+IF(ISNUMBER(Cek_B!T23),7,0)+IF(ISNUMBER(Cek_B!T29),6,0)+IF(ISNUMBER(Cek_B!T37),6,0)+IF(ISNUMBER(Cek_B!T43),7,0)+IF(ISNUMBER(Cek_B!T49),7,0)+IF(ISNUMBER(Cek_B!T55),6,0)+IF(ISNUMBER(Cek_B!T61),7,0)))</f>
        <v/>
      </c>
      <c r="U6" s="9" t="str">
        <f>IF((IF(ISNUMBER(Cek_B!U5),7,0)+IF(ISNUMBER(Cek_B!U11),7,0)+IF(ISNUMBER(Cek_B!U17),6,0)+IF(ISNUMBER(Cek_B!U23),7,0)+IF(ISNUMBER(Cek_B!U29),6,0)+IF(ISNUMBER(Cek_B!U37),6,0)+IF(ISNUMBER(Cek_B!U43),7,0)+IF(ISNUMBER(Cek_B!U49),7,0)+IF(ISNUMBER(Cek_B!U55),6,0)+IF(ISNUMBER(Cek_B!U61),7,0))=0,"",(IF(ISNUMBER(Cek_B!U5),Cek_B!U5*7,0)+IF(ISNUMBER(Cek_B!U11),Cek_B!U11*7,0)+IF(ISNUMBER(Cek_B!U17),Cek_B!U17*6,0)+IF(ISNUMBER(Cek_B!U23),Cek_B!U23*7,0)+IF(ISNUMBER(Cek_B!U29),Cek_B!U29*6,0)+IF(ISNUMBER(Cek_B!U37),Cek_B!U37*6,0)+IF(ISNUMBER(Cek_B!U43),Cek_B!U43*7,0)+IF(ISNUMBER(Cek_B!U49),Cek_B!U49*7,0)+IF(ISNUMBER(Cek_B!U55),Cek_B!U55*6,0)+IF(ISNUMBER(Cek_B!U61),Cek_B!U61*7,0))/(IF(ISNUMBER(Cek_B!U5),7,0)+IF(ISNUMBER(Cek_B!U11),7,0)+IF(ISNUMBER(Cek_B!U17),6,0)+IF(ISNUMBER(Cek_B!U23),7,0)+IF(ISNUMBER(Cek_B!U29),6,0)+IF(ISNUMBER(Cek_B!U37),6,0)+IF(ISNUMBER(Cek_B!U43),7,0)+IF(ISNUMBER(Cek_B!U49),7,0)+IF(ISNUMBER(Cek_B!U55),6,0)+IF(ISNUMBER(Cek_B!U61),7,0)))</f>
        <v/>
      </c>
      <c r="V6" s="9" t="str">
        <f>IF((IF(ISNUMBER(Cek_B!V5),7,0)+IF(ISNUMBER(Cek_B!V11),7,0)+IF(ISNUMBER(Cek_B!V17),6,0)+IF(ISNUMBER(Cek_B!V23),7,0)+IF(ISNUMBER(Cek_B!V29),6,0)+IF(ISNUMBER(Cek_B!V37),6,0)+IF(ISNUMBER(Cek_B!V43),7,0)+IF(ISNUMBER(Cek_B!V49),7,0)+IF(ISNUMBER(Cek_B!V55),6,0)+IF(ISNUMBER(Cek_B!V61),7,0))=0,"",(IF(ISNUMBER(Cek_B!V5),Cek_B!V5*7,0)+IF(ISNUMBER(Cek_B!V11),Cek_B!V11*7,0)+IF(ISNUMBER(Cek_B!V17),Cek_B!V17*6,0)+IF(ISNUMBER(Cek_B!V23),Cek_B!V23*7,0)+IF(ISNUMBER(Cek_B!V29),Cek_B!V29*6,0)+IF(ISNUMBER(Cek_B!V37),Cek_B!V37*6,0)+IF(ISNUMBER(Cek_B!V43),Cek_B!V43*7,0)+IF(ISNUMBER(Cek_B!V49),Cek_B!V49*7,0)+IF(ISNUMBER(Cek_B!V55),Cek_B!V55*6,0)+IF(ISNUMBER(Cek_B!V61),Cek_B!V61*7,0))/(IF(ISNUMBER(Cek_B!V5),7,0)+IF(ISNUMBER(Cek_B!V11),7,0)+IF(ISNUMBER(Cek_B!V17),6,0)+IF(ISNUMBER(Cek_B!V23),7,0)+IF(ISNUMBER(Cek_B!V29),6,0)+IF(ISNUMBER(Cek_B!V37),6,0)+IF(ISNUMBER(Cek_B!V43),7,0)+IF(ISNUMBER(Cek_B!V49),7,0)+IF(ISNUMBER(Cek_B!V55),6,0)+IF(ISNUMBER(Cek_B!V61),7,0)))</f>
        <v/>
      </c>
      <c r="W6" s="9" t="str">
        <f>IF((IF(ISNUMBER(Cek_B!W5),7,0)+IF(ISNUMBER(Cek_B!W11),7,0)+IF(ISNUMBER(Cek_B!W17),6,0)+IF(ISNUMBER(Cek_B!W23),7,0)+IF(ISNUMBER(Cek_B!W29),6,0)+IF(ISNUMBER(Cek_B!W37),6,0)+IF(ISNUMBER(Cek_B!W43),7,0)+IF(ISNUMBER(Cek_B!W49),7,0)+IF(ISNUMBER(Cek_B!W55),6,0)+IF(ISNUMBER(Cek_B!W61),7,0))=0,"",(IF(ISNUMBER(Cek_B!W5),Cek_B!W5*7,0)+IF(ISNUMBER(Cek_B!W11),Cek_B!W11*7,0)+IF(ISNUMBER(Cek_B!W17),Cek_B!W17*6,0)+IF(ISNUMBER(Cek_B!W23),Cek_B!W23*7,0)+IF(ISNUMBER(Cek_B!W29),Cek_B!W29*6,0)+IF(ISNUMBER(Cek_B!W37),Cek_B!W37*6,0)+IF(ISNUMBER(Cek_B!W43),Cek_B!W43*7,0)+IF(ISNUMBER(Cek_B!W49),Cek_B!W49*7,0)+IF(ISNUMBER(Cek_B!W55),Cek_B!W55*6,0)+IF(ISNUMBER(Cek_B!W61),Cek_B!W61*7,0))/(IF(ISNUMBER(Cek_B!W5),7,0)+IF(ISNUMBER(Cek_B!W11),7,0)+IF(ISNUMBER(Cek_B!W17),6,0)+IF(ISNUMBER(Cek_B!W23),7,0)+IF(ISNUMBER(Cek_B!W29),6,0)+IF(ISNUMBER(Cek_B!W37),6,0)+IF(ISNUMBER(Cek_B!W43),7,0)+IF(ISNUMBER(Cek_B!W49),7,0)+IF(ISNUMBER(Cek_B!W55),6,0)+IF(ISNUMBER(Cek_B!W61),7,0)))</f>
        <v/>
      </c>
      <c r="X6" s="9" t="str">
        <f>IF((IF(ISNUMBER(Cek_B!X5),7,0)+IF(ISNUMBER(Cek_B!X11),7,0)+IF(ISNUMBER(Cek_B!X17),6,0)+IF(ISNUMBER(Cek_B!X23),7,0)+IF(ISNUMBER(Cek_B!X29),6,0)+IF(ISNUMBER(Cek_B!X37),6,0)+IF(ISNUMBER(Cek_B!X43),7,0)+IF(ISNUMBER(Cek_B!X49),7,0)+IF(ISNUMBER(Cek_B!X55),6,0)+IF(ISNUMBER(Cek_B!X61),7,0))=0,"",(IF(ISNUMBER(Cek_B!X5),Cek_B!X5*7,0)+IF(ISNUMBER(Cek_B!X11),Cek_B!X11*7,0)+IF(ISNUMBER(Cek_B!X17),Cek_B!X17*6,0)+IF(ISNUMBER(Cek_B!X23),Cek_B!X23*7,0)+IF(ISNUMBER(Cek_B!X29),Cek_B!X29*6,0)+IF(ISNUMBER(Cek_B!X37),Cek_B!X37*6,0)+IF(ISNUMBER(Cek_B!X43),Cek_B!X43*7,0)+IF(ISNUMBER(Cek_B!X49),Cek_B!X49*7,0)+IF(ISNUMBER(Cek_B!X55),Cek_B!X55*6,0)+IF(ISNUMBER(Cek_B!X61),Cek_B!X61*7,0))/(IF(ISNUMBER(Cek_B!X5),7,0)+IF(ISNUMBER(Cek_B!X11),7,0)+IF(ISNUMBER(Cek_B!X17),6,0)+IF(ISNUMBER(Cek_B!X23),7,0)+IF(ISNUMBER(Cek_B!X29),6,0)+IF(ISNUMBER(Cek_B!X37),6,0)+IF(ISNUMBER(Cek_B!X43),7,0)+IF(ISNUMBER(Cek_B!X49),7,0)+IF(ISNUMBER(Cek_B!X55),6,0)+IF(ISNUMBER(Cek_B!X61),7,0)))</f>
        <v/>
      </c>
      <c r="Y6" s="9" t="str">
        <f>IF((IF(ISNUMBER(Cek_B!Y5),7,0)+IF(ISNUMBER(Cek_B!Y11),7,0)+IF(ISNUMBER(Cek_B!Y17),6,0)+IF(ISNUMBER(Cek_B!Y23),7,0)+IF(ISNUMBER(Cek_B!Y29),6,0)+IF(ISNUMBER(Cek_B!Y37),6,0)+IF(ISNUMBER(Cek_B!Y43),7,0)+IF(ISNUMBER(Cek_B!Y49),7,0)+IF(ISNUMBER(Cek_B!Y55),6,0)+IF(ISNUMBER(Cek_B!Y61),7,0))=0,"",(IF(ISNUMBER(Cek_B!Y5),Cek_B!Y5*7,0)+IF(ISNUMBER(Cek_B!Y11),Cek_B!Y11*7,0)+IF(ISNUMBER(Cek_B!Y17),Cek_B!Y17*6,0)+IF(ISNUMBER(Cek_B!Y23),Cek_B!Y23*7,0)+IF(ISNUMBER(Cek_B!Y29),Cek_B!Y29*6,0)+IF(ISNUMBER(Cek_B!Y37),Cek_B!Y37*6,0)+IF(ISNUMBER(Cek_B!Y43),Cek_B!Y43*7,0)+IF(ISNUMBER(Cek_B!Y49),Cek_B!Y49*7,0)+IF(ISNUMBER(Cek_B!Y55),Cek_B!Y55*6,0)+IF(ISNUMBER(Cek_B!Y61),Cek_B!Y61*7,0))/(IF(ISNUMBER(Cek_B!Y5),7,0)+IF(ISNUMBER(Cek_B!Y11),7,0)+IF(ISNUMBER(Cek_B!Y17),6,0)+IF(ISNUMBER(Cek_B!Y23),7,0)+IF(ISNUMBER(Cek_B!Y29),6,0)+IF(ISNUMBER(Cek_B!Y37),6,0)+IF(ISNUMBER(Cek_B!Y43),7,0)+IF(ISNUMBER(Cek_B!Y49),7,0)+IF(ISNUMBER(Cek_B!Y55),6,0)+IF(ISNUMBER(Cek_B!Y61),7,0)))</f>
        <v/>
      </c>
      <c r="Z6" s="9" t="str">
        <f>_xlfn.IFERROR(AVERAGE(E6:Y6),"")</f>
        <v/>
      </c>
    </row>
    <row r="7" spans="8:8" ht="26.0" customHeight="1">
      <c r="A7" s="7">
        <v>4.0</v>
      </c>
      <c r="B7" s="42" t="s">
        <v>15</v>
      </c>
      <c r="C7" s="43" t="s">
        <v>458</v>
      </c>
      <c r="D7" s="32"/>
      <c r="E7" s="9" t="str">
        <f>IF((IF(ISNUMBER(Cek_B!E69),7,0)+IF(ISNUMBER(Cek_B!E75),7,0)+IF(ISNUMBER(Cek_B!E81),6,0)+IF(ISNUMBER(Cek_D!E5),10,0)+IF(ISNUMBER(Cek_D!E11),10,0)+IF(ISNUMBER(Cek_D!E17),10,0)+IF(ISNUMBER(Cek_D!E23),10,0)+IF(ISNUMBER(Cek_D!E31),10,0)+IF(ISNUMBER(Cek_D!E37),10,0)+IF(ISNUMBER(Cek_D!E43),10,0)+IF(ISNUMBER(Cek_D!E51),10,0)+IF(ISNUMBER(Cek_D!E57),10,0)+IF(ISNUMBER(Cek_D!E63),10,0))=0,"",(IF(ISNUMBER(Cek_B!E69),Cek_B!E69*7,0)+IF(ISNUMBER(Cek_B!E75),Cek_B!E75*7,0)+IF(ISNUMBER(Cek_B!E81),Cek_B!E81*6,0)+IF(ISNUMBER(Cek_D!E5),Cek_D!E5*10,0)+IF(ISNUMBER(Cek_D!E11),Cek_D!E11*10,0)+IF(ISNUMBER(Cek_D!E17),Cek_D!E17*10,0)+IF(ISNUMBER(Cek_D!E23),Cek_D!E23*10,0)+IF(ISNUMBER(Cek_D!E31),Cek_D!E31*10,0)+IF(ISNUMBER(Cek_D!E37),Cek_D!E37*10,0)+IF(ISNUMBER(Cek_D!E43),Cek_D!E43*10,0)+IF(ISNUMBER(Cek_D!E51),Cek_D!E51*10,0)+IF(ISNUMBER(Cek_D!E57),Cek_D!E57*10,0)+IF(ISNUMBER(Cek_D!E63),Cek_D!E63*10,0))/(IF(ISNUMBER(Cek_B!E69),7,0)+IF(ISNUMBER(Cek_B!E75),7,0)+IF(ISNUMBER(Cek_B!E81),6,0)+IF(ISNUMBER(Cek_D!E5),10,0)+IF(ISNUMBER(Cek_D!E11),10,0)+IF(ISNUMBER(Cek_D!E17),10,0)+IF(ISNUMBER(Cek_D!E23),10,0)+IF(ISNUMBER(Cek_D!E31),10,0)+IF(ISNUMBER(Cek_D!E37),10,0)+IF(ISNUMBER(Cek_D!E43),10,0)+IF(ISNUMBER(Cek_D!E51),10,0)+IF(ISNUMBER(Cek_D!E57),10,0)+IF(ISNUMBER(Cek_D!E63),10,0)))</f>
        <v/>
      </c>
      <c r="F7" s="9" t="str">
        <f>IF((IF(ISNUMBER(Cek_B!F69),7,0)+IF(ISNUMBER(Cek_B!F75),7,0)+IF(ISNUMBER(Cek_B!F81),6,0)+IF(ISNUMBER(Cek_D!F5),10,0)+IF(ISNUMBER(Cek_D!F11),10,0)+IF(ISNUMBER(Cek_D!F17),10,0)+IF(ISNUMBER(Cek_D!F23),10,0)+IF(ISNUMBER(Cek_D!F31),10,0)+IF(ISNUMBER(Cek_D!F37),10,0)+IF(ISNUMBER(Cek_D!F43),10,0)+IF(ISNUMBER(Cek_D!F51),10,0)+IF(ISNUMBER(Cek_D!F57),10,0)+IF(ISNUMBER(Cek_D!F63),10,0))=0,"",(IF(ISNUMBER(Cek_B!F69),Cek_B!F69*7,0)+IF(ISNUMBER(Cek_B!F75),Cek_B!F75*7,0)+IF(ISNUMBER(Cek_B!F81),Cek_B!F81*6,0)+IF(ISNUMBER(Cek_D!F5),Cek_D!F5*10,0)+IF(ISNUMBER(Cek_D!F11),Cek_D!F11*10,0)+IF(ISNUMBER(Cek_D!F17),Cek_D!F17*10,0)+IF(ISNUMBER(Cek_D!F23),Cek_D!F23*10,0)+IF(ISNUMBER(Cek_D!F31),Cek_D!F31*10,0)+IF(ISNUMBER(Cek_D!F37),Cek_D!F37*10,0)+IF(ISNUMBER(Cek_D!F43),Cek_D!F43*10,0)+IF(ISNUMBER(Cek_D!F51),Cek_D!F51*10,0)+IF(ISNUMBER(Cek_D!F57),Cek_D!F57*10,0)+IF(ISNUMBER(Cek_D!F63),Cek_D!F63*10,0))/(IF(ISNUMBER(Cek_B!F69),7,0)+IF(ISNUMBER(Cek_B!F75),7,0)+IF(ISNUMBER(Cek_B!F81),6,0)+IF(ISNUMBER(Cek_D!F5),10,0)+IF(ISNUMBER(Cek_D!F11),10,0)+IF(ISNUMBER(Cek_D!F17),10,0)+IF(ISNUMBER(Cek_D!F23),10,0)+IF(ISNUMBER(Cek_D!F31),10,0)+IF(ISNUMBER(Cek_D!F37),10,0)+IF(ISNUMBER(Cek_D!F43),10,0)+IF(ISNUMBER(Cek_D!F51),10,0)+IF(ISNUMBER(Cek_D!F57),10,0)+IF(ISNUMBER(Cek_D!F63),10,0)))</f>
        <v/>
      </c>
      <c r="G7" s="9" t="str">
        <f>IF((IF(ISNUMBER(Cek_B!G69),7,0)+IF(ISNUMBER(Cek_B!G75),7,0)+IF(ISNUMBER(Cek_B!G81),6,0)+IF(ISNUMBER(Cek_D!G5),10,0)+IF(ISNUMBER(Cek_D!G11),10,0)+IF(ISNUMBER(Cek_D!G17),10,0)+IF(ISNUMBER(Cek_D!G23),10,0)+IF(ISNUMBER(Cek_D!G31),10,0)+IF(ISNUMBER(Cek_D!G37),10,0)+IF(ISNUMBER(Cek_D!G43),10,0)+IF(ISNUMBER(Cek_D!G51),10,0)+IF(ISNUMBER(Cek_D!G57),10,0)+IF(ISNUMBER(Cek_D!G63),10,0))=0,"",(IF(ISNUMBER(Cek_B!G69),Cek_B!G69*7,0)+IF(ISNUMBER(Cek_B!G75),Cek_B!G75*7,0)+IF(ISNUMBER(Cek_B!G81),Cek_B!G81*6,0)+IF(ISNUMBER(Cek_D!G5),Cek_D!G5*10,0)+IF(ISNUMBER(Cek_D!G11),Cek_D!G11*10,0)+IF(ISNUMBER(Cek_D!G17),Cek_D!G17*10,0)+IF(ISNUMBER(Cek_D!G23),Cek_D!G23*10,0)+IF(ISNUMBER(Cek_D!G31),Cek_D!G31*10,0)+IF(ISNUMBER(Cek_D!G37),Cek_D!G37*10,0)+IF(ISNUMBER(Cek_D!G43),Cek_D!G43*10,0)+IF(ISNUMBER(Cek_D!G51),Cek_D!G51*10,0)+IF(ISNUMBER(Cek_D!G57),Cek_D!G57*10,0)+IF(ISNUMBER(Cek_D!G63),Cek_D!G63*10,0))/(IF(ISNUMBER(Cek_B!G69),7,0)+IF(ISNUMBER(Cek_B!G75),7,0)+IF(ISNUMBER(Cek_B!G81),6,0)+IF(ISNUMBER(Cek_D!G5),10,0)+IF(ISNUMBER(Cek_D!G11),10,0)+IF(ISNUMBER(Cek_D!G17),10,0)+IF(ISNUMBER(Cek_D!G23),10,0)+IF(ISNUMBER(Cek_D!G31),10,0)+IF(ISNUMBER(Cek_D!G37),10,0)+IF(ISNUMBER(Cek_D!G43),10,0)+IF(ISNUMBER(Cek_D!G51),10,0)+IF(ISNUMBER(Cek_D!G57),10,0)+IF(ISNUMBER(Cek_D!G63),10,0)))</f>
        <v/>
      </c>
      <c r="H7" s="9" t="str">
        <f>IF((IF(ISNUMBER(Cek_B!H69),7,0)+IF(ISNUMBER(Cek_B!H75),7,0)+IF(ISNUMBER(Cek_B!H81),6,0)+IF(ISNUMBER(Cek_D!H5),10,0)+IF(ISNUMBER(Cek_D!H11),10,0)+IF(ISNUMBER(Cek_D!H17),10,0)+IF(ISNUMBER(Cek_D!H23),10,0)+IF(ISNUMBER(Cek_D!H31),10,0)+IF(ISNUMBER(Cek_D!H37),10,0)+IF(ISNUMBER(Cek_D!H43),10,0)+IF(ISNUMBER(Cek_D!H51),10,0)+IF(ISNUMBER(Cek_D!H57),10,0)+IF(ISNUMBER(Cek_D!H63),10,0))=0,"",(IF(ISNUMBER(Cek_B!H69),Cek_B!H69*7,0)+IF(ISNUMBER(Cek_B!H75),Cek_B!H75*7,0)+IF(ISNUMBER(Cek_B!H81),Cek_B!H81*6,0)+IF(ISNUMBER(Cek_D!H5),Cek_D!H5*10,0)+IF(ISNUMBER(Cek_D!H11),Cek_D!H11*10,0)+IF(ISNUMBER(Cek_D!H17),Cek_D!H17*10,0)+IF(ISNUMBER(Cek_D!H23),Cek_D!H23*10,0)+IF(ISNUMBER(Cek_D!H31),Cek_D!H31*10,0)+IF(ISNUMBER(Cek_D!H37),Cek_D!H37*10,0)+IF(ISNUMBER(Cek_D!H43),Cek_D!H43*10,0)+IF(ISNUMBER(Cek_D!H51),Cek_D!H51*10,0)+IF(ISNUMBER(Cek_D!H57),Cek_D!H57*10,0)+IF(ISNUMBER(Cek_D!H63),Cek_D!H63*10,0))/(IF(ISNUMBER(Cek_B!H69),7,0)+IF(ISNUMBER(Cek_B!H75),7,0)+IF(ISNUMBER(Cek_B!H81),6,0)+IF(ISNUMBER(Cek_D!H5),10,0)+IF(ISNUMBER(Cek_D!H11),10,0)+IF(ISNUMBER(Cek_D!H17),10,0)+IF(ISNUMBER(Cek_D!H23),10,0)+IF(ISNUMBER(Cek_D!H31),10,0)+IF(ISNUMBER(Cek_D!H37),10,0)+IF(ISNUMBER(Cek_D!H43),10,0)+IF(ISNUMBER(Cek_D!H51),10,0)+IF(ISNUMBER(Cek_D!H57),10,0)+IF(ISNUMBER(Cek_D!H63),10,0)))</f>
        <v/>
      </c>
      <c r="I7" s="9" t="str">
        <f>IF((IF(ISNUMBER(Cek_B!I69),7,0)+IF(ISNUMBER(Cek_B!I75),7,0)+IF(ISNUMBER(Cek_B!I81),6,0)+IF(ISNUMBER(Cek_D!I5),10,0)+IF(ISNUMBER(Cek_D!I11),10,0)+IF(ISNUMBER(Cek_D!I17),10,0)+IF(ISNUMBER(Cek_D!I23),10,0)+IF(ISNUMBER(Cek_D!I31),10,0)+IF(ISNUMBER(Cek_D!I37),10,0)+IF(ISNUMBER(Cek_D!I43),10,0)+IF(ISNUMBER(Cek_D!I51),10,0)+IF(ISNUMBER(Cek_D!I57),10,0)+IF(ISNUMBER(Cek_D!I63),10,0))=0,"",(IF(ISNUMBER(Cek_B!I69),Cek_B!I69*7,0)+IF(ISNUMBER(Cek_B!I75),Cek_B!I75*7,0)+IF(ISNUMBER(Cek_B!I81),Cek_B!I81*6,0)+IF(ISNUMBER(Cek_D!I5),Cek_D!I5*10,0)+IF(ISNUMBER(Cek_D!I11),Cek_D!I11*10,0)+IF(ISNUMBER(Cek_D!I17),Cek_D!I17*10,0)+IF(ISNUMBER(Cek_D!I23),Cek_D!I23*10,0)+IF(ISNUMBER(Cek_D!I31),Cek_D!I31*10,0)+IF(ISNUMBER(Cek_D!I37),Cek_D!I37*10,0)+IF(ISNUMBER(Cek_D!I43),Cek_D!I43*10,0)+IF(ISNUMBER(Cek_D!I51),Cek_D!I51*10,0)+IF(ISNUMBER(Cek_D!I57),Cek_D!I57*10,0)+IF(ISNUMBER(Cek_D!I63),Cek_D!I63*10,0))/(IF(ISNUMBER(Cek_B!I69),7,0)+IF(ISNUMBER(Cek_B!I75),7,0)+IF(ISNUMBER(Cek_B!I81),6,0)+IF(ISNUMBER(Cek_D!I5),10,0)+IF(ISNUMBER(Cek_D!I11),10,0)+IF(ISNUMBER(Cek_D!I17),10,0)+IF(ISNUMBER(Cek_D!I23),10,0)+IF(ISNUMBER(Cek_D!I31),10,0)+IF(ISNUMBER(Cek_D!I37),10,0)+IF(ISNUMBER(Cek_D!I43),10,0)+IF(ISNUMBER(Cek_D!I51),10,0)+IF(ISNUMBER(Cek_D!I57),10,0)+IF(ISNUMBER(Cek_D!I63),10,0)))</f>
        <v/>
      </c>
      <c r="J7" s="9" t="str">
        <f>IF((IF(ISNUMBER(Cek_B!J69),7,0)+IF(ISNUMBER(Cek_B!J75),7,0)+IF(ISNUMBER(Cek_B!J81),6,0)+IF(ISNUMBER(Cek_D!J5),10,0)+IF(ISNUMBER(Cek_D!J11),10,0)+IF(ISNUMBER(Cek_D!J17),10,0)+IF(ISNUMBER(Cek_D!J23),10,0)+IF(ISNUMBER(Cek_D!J31),10,0)+IF(ISNUMBER(Cek_D!J37),10,0)+IF(ISNUMBER(Cek_D!J43),10,0)+IF(ISNUMBER(Cek_D!J51),10,0)+IF(ISNUMBER(Cek_D!J57),10,0)+IF(ISNUMBER(Cek_D!J63),10,0))=0,"",(IF(ISNUMBER(Cek_B!J69),Cek_B!J69*7,0)+IF(ISNUMBER(Cek_B!J75),Cek_B!J75*7,0)+IF(ISNUMBER(Cek_B!J81),Cek_B!J81*6,0)+IF(ISNUMBER(Cek_D!J5),Cek_D!J5*10,0)+IF(ISNUMBER(Cek_D!J11),Cek_D!J11*10,0)+IF(ISNUMBER(Cek_D!J17),Cek_D!J17*10,0)+IF(ISNUMBER(Cek_D!J23),Cek_D!J23*10,0)+IF(ISNUMBER(Cek_D!J31),Cek_D!J31*10,0)+IF(ISNUMBER(Cek_D!J37),Cek_D!J37*10,0)+IF(ISNUMBER(Cek_D!J43),Cek_D!J43*10,0)+IF(ISNUMBER(Cek_D!J51),Cek_D!J51*10,0)+IF(ISNUMBER(Cek_D!J57),Cek_D!J57*10,0)+IF(ISNUMBER(Cek_D!J63),Cek_D!J63*10,0))/(IF(ISNUMBER(Cek_B!J69),7,0)+IF(ISNUMBER(Cek_B!J75),7,0)+IF(ISNUMBER(Cek_B!J81),6,0)+IF(ISNUMBER(Cek_D!J5),10,0)+IF(ISNUMBER(Cek_D!J11),10,0)+IF(ISNUMBER(Cek_D!J17),10,0)+IF(ISNUMBER(Cek_D!J23),10,0)+IF(ISNUMBER(Cek_D!J31),10,0)+IF(ISNUMBER(Cek_D!J37),10,0)+IF(ISNUMBER(Cek_D!J43),10,0)+IF(ISNUMBER(Cek_D!J51),10,0)+IF(ISNUMBER(Cek_D!J57),10,0)+IF(ISNUMBER(Cek_D!J63),10,0)))</f>
        <v/>
      </c>
      <c r="K7" s="9" t="str">
        <f>IF((IF(ISNUMBER(Cek_B!K69),7,0)+IF(ISNUMBER(Cek_B!K75),7,0)+IF(ISNUMBER(Cek_B!K81),6,0)+IF(ISNUMBER(Cek_D!K5),10,0)+IF(ISNUMBER(Cek_D!K11),10,0)+IF(ISNUMBER(Cek_D!K17),10,0)+IF(ISNUMBER(Cek_D!K23),10,0)+IF(ISNUMBER(Cek_D!K31),10,0)+IF(ISNUMBER(Cek_D!K37),10,0)+IF(ISNUMBER(Cek_D!K43),10,0)+IF(ISNUMBER(Cek_D!K51),10,0)+IF(ISNUMBER(Cek_D!K57),10,0)+IF(ISNUMBER(Cek_D!K63),10,0))=0,"",(IF(ISNUMBER(Cek_B!K69),Cek_B!K69*7,0)+IF(ISNUMBER(Cek_B!K75),Cek_B!K75*7,0)+IF(ISNUMBER(Cek_B!K81),Cek_B!K81*6,0)+IF(ISNUMBER(Cek_D!K5),Cek_D!K5*10,0)+IF(ISNUMBER(Cek_D!K11),Cek_D!K11*10,0)+IF(ISNUMBER(Cek_D!K17),Cek_D!K17*10,0)+IF(ISNUMBER(Cek_D!K23),Cek_D!K23*10,0)+IF(ISNUMBER(Cek_D!K31),Cek_D!K31*10,0)+IF(ISNUMBER(Cek_D!K37),Cek_D!K37*10,0)+IF(ISNUMBER(Cek_D!K43),Cek_D!K43*10,0)+IF(ISNUMBER(Cek_D!K51),Cek_D!K51*10,0)+IF(ISNUMBER(Cek_D!K57),Cek_D!K57*10,0)+IF(ISNUMBER(Cek_D!K63),Cek_D!K63*10,0))/(IF(ISNUMBER(Cek_B!K69),7,0)+IF(ISNUMBER(Cek_B!K75),7,0)+IF(ISNUMBER(Cek_B!K81),6,0)+IF(ISNUMBER(Cek_D!K5),10,0)+IF(ISNUMBER(Cek_D!K11),10,0)+IF(ISNUMBER(Cek_D!K17),10,0)+IF(ISNUMBER(Cek_D!K23),10,0)+IF(ISNUMBER(Cek_D!K31),10,0)+IF(ISNUMBER(Cek_D!K37),10,0)+IF(ISNUMBER(Cek_D!K43),10,0)+IF(ISNUMBER(Cek_D!K51),10,0)+IF(ISNUMBER(Cek_D!K57),10,0)+IF(ISNUMBER(Cek_D!K63),10,0)))</f>
        <v/>
      </c>
      <c r="L7" s="9" t="str">
        <f>IF((IF(ISNUMBER(Cek_B!L69),7,0)+IF(ISNUMBER(Cek_B!L75),7,0)+IF(ISNUMBER(Cek_B!L81),6,0)+IF(ISNUMBER(Cek_D!L5),10,0)+IF(ISNUMBER(Cek_D!L11),10,0)+IF(ISNUMBER(Cek_D!L17),10,0)+IF(ISNUMBER(Cek_D!L23),10,0)+IF(ISNUMBER(Cek_D!L31),10,0)+IF(ISNUMBER(Cek_D!L37),10,0)+IF(ISNUMBER(Cek_D!L43),10,0)+IF(ISNUMBER(Cek_D!L51),10,0)+IF(ISNUMBER(Cek_D!L57),10,0)+IF(ISNUMBER(Cek_D!L63),10,0))=0,"",(IF(ISNUMBER(Cek_B!L69),Cek_B!L69*7,0)+IF(ISNUMBER(Cek_B!L75),Cek_B!L75*7,0)+IF(ISNUMBER(Cek_B!L81),Cek_B!L81*6,0)+IF(ISNUMBER(Cek_D!L5),Cek_D!L5*10,0)+IF(ISNUMBER(Cek_D!L11),Cek_D!L11*10,0)+IF(ISNUMBER(Cek_D!L17),Cek_D!L17*10,0)+IF(ISNUMBER(Cek_D!L23),Cek_D!L23*10,0)+IF(ISNUMBER(Cek_D!L31),Cek_D!L31*10,0)+IF(ISNUMBER(Cek_D!L37),Cek_D!L37*10,0)+IF(ISNUMBER(Cek_D!L43),Cek_D!L43*10,0)+IF(ISNUMBER(Cek_D!L51),Cek_D!L51*10,0)+IF(ISNUMBER(Cek_D!L57),Cek_D!L57*10,0)+IF(ISNUMBER(Cek_D!L63),Cek_D!L63*10,0))/(IF(ISNUMBER(Cek_B!L69),7,0)+IF(ISNUMBER(Cek_B!L75),7,0)+IF(ISNUMBER(Cek_B!L81),6,0)+IF(ISNUMBER(Cek_D!L5),10,0)+IF(ISNUMBER(Cek_D!L11),10,0)+IF(ISNUMBER(Cek_D!L17),10,0)+IF(ISNUMBER(Cek_D!L23),10,0)+IF(ISNUMBER(Cek_D!L31),10,0)+IF(ISNUMBER(Cek_D!L37),10,0)+IF(ISNUMBER(Cek_D!L43),10,0)+IF(ISNUMBER(Cek_D!L51),10,0)+IF(ISNUMBER(Cek_D!L57),10,0)+IF(ISNUMBER(Cek_D!L63),10,0)))</f>
        <v/>
      </c>
      <c r="M7" s="9" t="str">
        <f>IF((IF(ISNUMBER(Cek_B!M69),7,0)+IF(ISNUMBER(Cek_B!M75),7,0)+IF(ISNUMBER(Cek_B!M81),6,0)+IF(ISNUMBER(Cek_D!M5),10,0)+IF(ISNUMBER(Cek_D!M11),10,0)+IF(ISNUMBER(Cek_D!M17),10,0)+IF(ISNUMBER(Cek_D!M23),10,0)+IF(ISNUMBER(Cek_D!M31),10,0)+IF(ISNUMBER(Cek_D!M37),10,0)+IF(ISNUMBER(Cek_D!M43),10,0)+IF(ISNUMBER(Cek_D!M51),10,0)+IF(ISNUMBER(Cek_D!M57),10,0)+IF(ISNUMBER(Cek_D!M63),10,0))=0,"",(IF(ISNUMBER(Cek_B!M69),Cek_B!M69*7,0)+IF(ISNUMBER(Cek_B!M75),Cek_B!M75*7,0)+IF(ISNUMBER(Cek_B!M81),Cek_B!M81*6,0)+IF(ISNUMBER(Cek_D!M5),Cek_D!M5*10,0)+IF(ISNUMBER(Cek_D!M11),Cek_D!M11*10,0)+IF(ISNUMBER(Cek_D!M17),Cek_D!M17*10,0)+IF(ISNUMBER(Cek_D!M23),Cek_D!M23*10,0)+IF(ISNUMBER(Cek_D!M31),Cek_D!M31*10,0)+IF(ISNUMBER(Cek_D!M37),Cek_D!M37*10,0)+IF(ISNUMBER(Cek_D!M43),Cek_D!M43*10,0)+IF(ISNUMBER(Cek_D!M51),Cek_D!M51*10,0)+IF(ISNUMBER(Cek_D!M57),Cek_D!M57*10,0)+IF(ISNUMBER(Cek_D!M63),Cek_D!M63*10,0))/(IF(ISNUMBER(Cek_B!M69),7,0)+IF(ISNUMBER(Cek_B!M75),7,0)+IF(ISNUMBER(Cek_B!M81),6,0)+IF(ISNUMBER(Cek_D!M5),10,0)+IF(ISNUMBER(Cek_D!M11),10,0)+IF(ISNUMBER(Cek_D!M17),10,0)+IF(ISNUMBER(Cek_D!M23),10,0)+IF(ISNUMBER(Cek_D!M31),10,0)+IF(ISNUMBER(Cek_D!M37),10,0)+IF(ISNUMBER(Cek_D!M43),10,0)+IF(ISNUMBER(Cek_D!M51),10,0)+IF(ISNUMBER(Cek_D!M57),10,0)+IF(ISNUMBER(Cek_D!M63),10,0)))</f>
        <v/>
      </c>
      <c r="N7" s="9" t="str">
        <f>IF((IF(ISNUMBER(Cek_B!N69),7,0)+IF(ISNUMBER(Cek_B!N75),7,0)+IF(ISNUMBER(Cek_B!N81),6,0)+IF(ISNUMBER(Cek_D!N5),10,0)+IF(ISNUMBER(Cek_D!N11),10,0)+IF(ISNUMBER(Cek_D!N17),10,0)+IF(ISNUMBER(Cek_D!N23),10,0)+IF(ISNUMBER(Cek_D!N31),10,0)+IF(ISNUMBER(Cek_D!N37),10,0)+IF(ISNUMBER(Cek_D!N43),10,0)+IF(ISNUMBER(Cek_D!N51),10,0)+IF(ISNUMBER(Cek_D!N57),10,0)+IF(ISNUMBER(Cek_D!N63),10,0))=0,"",(IF(ISNUMBER(Cek_B!N69),Cek_B!N69*7,0)+IF(ISNUMBER(Cek_B!N75),Cek_B!N75*7,0)+IF(ISNUMBER(Cek_B!N81),Cek_B!N81*6,0)+IF(ISNUMBER(Cek_D!N5),Cek_D!N5*10,0)+IF(ISNUMBER(Cek_D!N11),Cek_D!N11*10,0)+IF(ISNUMBER(Cek_D!N17),Cek_D!N17*10,0)+IF(ISNUMBER(Cek_D!N23),Cek_D!N23*10,0)+IF(ISNUMBER(Cek_D!N31),Cek_D!N31*10,0)+IF(ISNUMBER(Cek_D!N37),Cek_D!N37*10,0)+IF(ISNUMBER(Cek_D!N43),Cek_D!N43*10,0)+IF(ISNUMBER(Cek_D!N51),Cek_D!N51*10,0)+IF(ISNUMBER(Cek_D!N57),Cek_D!N57*10,0)+IF(ISNUMBER(Cek_D!N63),Cek_D!N63*10,0))/(IF(ISNUMBER(Cek_B!N69),7,0)+IF(ISNUMBER(Cek_B!N75),7,0)+IF(ISNUMBER(Cek_B!N81),6,0)+IF(ISNUMBER(Cek_D!N5),10,0)+IF(ISNUMBER(Cek_D!N11),10,0)+IF(ISNUMBER(Cek_D!N17),10,0)+IF(ISNUMBER(Cek_D!N23),10,0)+IF(ISNUMBER(Cek_D!N31),10,0)+IF(ISNUMBER(Cek_D!N37),10,0)+IF(ISNUMBER(Cek_D!N43),10,0)+IF(ISNUMBER(Cek_D!N51),10,0)+IF(ISNUMBER(Cek_D!N57),10,0)+IF(ISNUMBER(Cek_D!N63),10,0)))</f>
        <v/>
      </c>
      <c r="O7" s="9" t="str">
        <f>IF((IF(ISNUMBER(Cek_B!O69),7,0)+IF(ISNUMBER(Cek_B!O75),7,0)+IF(ISNUMBER(Cek_B!O81),6,0)+IF(ISNUMBER(Cek_D!O5),10,0)+IF(ISNUMBER(Cek_D!O11),10,0)+IF(ISNUMBER(Cek_D!O17),10,0)+IF(ISNUMBER(Cek_D!O23),10,0)+IF(ISNUMBER(Cek_D!O31),10,0)+IF(ISNUMBER(Cek_D!O37),10,0)+IF(ISNUMBER(Cek_D!O43),10,0)+IF(ISNUMBER(Cek_D!O51),10,0)+IF(ISNUMBER(Cek_D!O57),10,0)+IF(ISNUMBER(Cek_D!O63),10,0))=0,"",(IF(ISNUMBER(Cek_B!O69),Cek_B!O69*7,0)+IF(ISNUMBER(Cek_B!O75),Cek_B!O75*7,0)+IF(ISNUMBER(Cek_B!O81),Cek_B!O81*6,0)+IF(ISNUMBER(Cek_D!O5),Cek_D!O5*10,0)+IF(ISNUMBER(Cek_D!O11),Cek_D!O11*10,0)+IF(ISNUMBER(Cek_D!O17),Cek_D!O17*10,0)+IF(ISNUMBER(Cek_D!O23),Cek_D!O23*10,0)+IF(ISNUMBER(Cek_D!O31),Cek_D!O31*10,0)+IF(ISNUMBER(Cek_D!O37),Cek_D!O37*10,0)+IF(ISNUMBER(Cek_D!O43),Cek_D!O43*10,0)+IF(ISNUMBER(Cek_D!O51),Cek_D!O51*10,0)+IF(ISNUMBER(Cek_D!O57),Cek_D!O57*10,0)+IF(ISNUMBER(Cek_D!O63),Cek_D!O63*10,0))/(IF(ISNUMBER(Cek_B!O69),7,0)+IF(ISNUMBER(Cek_B!O75),7,0)+IF(ISNUMBER(Cek_B!O81),6,0)+IF(ISNUMBER(Cek_D!O5),10,0)+IF(ISNUMBER(Cek_D!O11),10,0)+IF(ISNUMBER(Cek_D!O17),10,0)+IF(ISNUMBER(Cek_D!O23),10,0)+IF(ISNUMBER(Cek_D!O31),10,0)+IF(ISNUMBER(Cek_D!O37),10,0)+IF(ISNUMBER(Cek_D!O43),10,0)+IF(ISNUMBER(Cek_D!O51),10,0)+IF(ISNUMBER(Cek_D!O57),10,0)+IF(ISNUMBER(Cek_D!O63),10,0)))</f>
        <v/>
      </c>
      <c r="P7" s="9" t="str">
        <f>IF((IF(ISNUMBER(Cek_B!P69),7,0)+IF(ISNUMBER(Cek_B!P75),7,0)+IF(ISNUMBER(Cek_B!P81),6,0)+IF(ISNUMBER(Cek_D!P5),10,0)+IF(ISNUMBER(Cek_D!P11),10,0)+IF(ISNUMBER(Cek_D!P17),10,0)+IF(ISNUMBER(Cek_D!P23),10,0)+IF(ISNUMBER(Cek_D!P31),10,0)+IF(ISNUMBER(Cek_D!P37),10,0)+IF(ISNUMBER(Cek_D!P43),10,0)+IF(ISNUMBER(Cek_D!P51),10,0)+IF(ISNUMBER(Cek_D!P57),10,0)+IF(ISNUMBER(Cek_D!P63),10,0))=0,"",(IF(ISNUMBER(Cek_B!P69),Cek_B!P69*7,0)+IF(ISNUMBER(Cek_B!P75),Cek_B!P75*7,0)+IF(ISNUMBER(Cek_B!P81),Cek_B!P81*6,0)+IF(ISNUMBER(Cek_D!P5),Cek_D!P5*10,0)+IF(ISNUMBER(Cek_D!P11),Cek_D!P11*10,0)+IF(ISNUMBER(Cek_D!P17),Cek_D!P17*10,0)+IF(ISNUMBER(Cek_D!P23),Cek_D!P23*10,0)+IF(ISNUMBER(Cek_D!P31),Cek_D!P31*10,0)+IF(ISNUMBER(Cek_D!P37),Cek_D!P37*10,0)+IF(ISNUMBER(Cek_D!P43),Cek_D!P43*10,0)+IF(ISNUMBER(Cek_D!P51),Cek_D!P51*10,0)+IF(ISNUMBER(Cek_D!P57),Cek_D!P57*10,0)+IF(ISNUMBER(Cek_D!P63),Cek_D!P63*10,0))/(IF(ISNUMBER(Cek_B!P69),7,0)+IF(ISNUMBER(Cek_B!P75),7,0)+IF(ISNUMBER(Cek_B!P81),6,0)+IF(ISNUMBER(Cek_D!P5),10,0)+IF(ISNUMBER(Cek_D!P11),10,0)+IF(ISNUMBER(Cek_D!P17),10,0)+IF(ISNUMBER(Cek_D!P23),10,0)+IF(ISNUMBER(Cek_D!P31),10,0)+IF(ISNUMBER(Cek_D!P37),10,0)+IF(ISNUMBER(Cek_D!P43),10,0)+IF(ISNUMBER(Cek_D!P51),10,0)+IF(ISNUMBER(Cek_D!P57),10,0)+IF(ISNUMBER(Cek_D!P63),10,0)))</f>
        <v/>
      </c>
      <c r="Q7" s="9" t="str">
        <f>IF((IF(ISNUMBER(Cek_B!Q69),7,0)+IF(ISNUMBER(Cek_B!Q75),7,0)+IF(ISNUMBER(Cek_B!Q81),6,0)+IF(ISNUMBER(Cek_D!Q5),10,0)+IF(ISNUMBER(Cek_D!Q11),10,0)+IF(ISNUMBER(Cek_D!Q17),10,0)+IF(ISNUMBER(Cek_D!Q23),10,0)+IF(ISNUMBER(Cek_D!Q31),10,0)+IF(ISNUMBER(Cek_D!Q37),10,0)+IF(ISNUMBER(Cek_D!Q43),10,0)+IF(ISNUMBER(Cek_D!Q51),10,0)+IF(ISNUMBER(Cek_D!Q57),10,0)+IF(ISNUMBER(Cek_D!Q63),10,0))=0,"",(IF(ISNUMBER(Cek_B!Q69),Cek_B!Q69*7,0)+IF(ISNUMBER(Cek_B!Q75),Cek_B!Q75*7,0)+IF(ISNUMBER(Cek_B!Q81),Cek_B!Q81*6,0)+IF(ISNUMBER(Cek_D!Q5),Cek_D!Q5*10,0)+IF(ISNUMBER(Cek_D!Q11),Cek_D!Q11*10,0)+IF(ISNUMBER(Cek_D!Q17),Cek_D!Q17*10,0)+IF(ISNUMBER(Cek_D!Q23),Cek_D!Q23*10,0)+IF(ISNUMBER(Cek_D!Q31),Cek_D!Q31*10,0)+IF(ISNUMBER(Cek_D!Q37),Cek_D!Q37*10,0)+IF(ISNUMBER(Cek_D!Q43),Cek_D!Q43*10,0)+IF(ISNUMBER(Cek_D!Q51),Cek_D!Q51*10,0)+IF(ISNUMBER(Cek_D!Q57),Cek_D!Q57*10,0)+IF(ISNUMBER(Cek_D!Q63),Cek_D!Q63*10,0))/(IF(ISNUMBER(Cek_B!Q69),7,0)+IF(ISNUMBER(Cek_B!Q75),7,0)+IF(ISNUMBER(Cek_B!Q81),6,0)+IF(ISNUMBER(Cek_D!Q5),10,0)+IF(ISNUMBER(Cek_D!Q11),10,0)+IF(ISNUMBER(Cek_D!Q17),10,0)+IF(ISNUMBER(Cek_D!Q23),10,0)+IF(ISNUMBER(Cek_D!Q31),10,0)+IF(ISNUMBER(Cek_D!Q37),10,0)+IF(ISNUMBER(Cek_D!Q43),10,0)+IF(ISNUMBER(Cek_D!Q51),10,0)+IF(ISNUMBER(Cek_D!Q57),10,0)+IF(ISNUMBER(Cek_D!Q63),10,0)))</f>
        <v/>
      </c>
      <c r="R7" s="9" t="str">
        <f>IF((IF(ISNUMBER(Cek_B!R69),7,0)+IF(ISNUMBER(Cek_B!R75),7,0)+IF(ISNUMBER(Cek_B!R81),6,0)+IF(ISNUMBER(Cek_D!R5),10,0)+IF(ISNUMBER(Cek_D!R11),10,0)+IF(ISNUMBER(Cek_D!R17),10,0)+IF(ISNUMBER(Cek_D!R23),10,0)+IF(ISNUMBER(Cek_D!R31),10,0)+IF(ISNUMBER(Cek_D!R37),10,0)+IF(ISNUMBER(Cek_D!R43),10,0)+IF(ISNUMBER(Cek_D!R51),10,0)+IF(ISNUMBER(Cek_D!R57),10,0)+IF(ISNUMBER(Cek_D!R63),10,0))=0,"",(IF(ISNUMBER(Cek_B!R69),Cek_B!R69*7,0)+IF(ISNUMBER(Cek_B!R75),Cek_B!R75*7,0)+IF(ISNUMBER(Cek_B!R81),Cek_B!R81*6,0)+IF(ISNUMBER(Cek_D!R5),Cek_D!R5*10,0)+IF(ISNUMBER(Cek_D!R11),Cek_D!R11*10,0)+IF(ISNUMBER(Cek_D!R17),Cek_D!R17*10,0)+IF(ISNUMBER(Cek_D!R23),Cek_D!R23*10,0)+IF(ISNUMBER(Cek_D!R31),Cek_D!R31*10,0)+IF(ISNUMBER(Cek_D!R37),Cek_D!R37*10,0)+IF(ISNUMBER(Cek_D!R43),Cek_D!R43*10,0)+IF(ISNUMBER(Cek_D!R51),Cek_D!R51*10,0)+IF(ISNUMBER(Cek_D!R57),Cek_D!R57*10,0)+IF(ISNUMBER(Cek_D!R63),Cek_D!R63*10,0))/(IF(ISNUMBER(Cek_B!R69),7,0)+IF(ISNUMBER(Cek_B!R75),7,0)+IF(ISNUMBER(Cek_B!R81),6,0)+IF(ISNUMBER(Cek_D!R5),10,0)+IF(ISNUMBER(Cek_D!R11),10,0)+IF(ISNUMBER(Cek_D!R17),10,0)+IF(ISNUMBER(Cek_D!R23),10,0)+IF(ISNUMBER(Cek_D!R31),10,0)+IF(ISNUMBER(Cek_D!R37),10,0)+IF(ISNUMBER(Cek_D!R43),10,0)+IF(ISNUMBER(Cek_D!R51),10,0)+IF(ISNUMBER(Cek_D!R57),10,0)+IF(ISNUMBER(Cek_D!R63),10,0)))</f>
        <v/>
      </c>
      <c r="S7" s="9" t="str">
        <f>IF((IF(ISNUMBER(Cek_B!S69),7,0)+IF(ISNUMBER(Cek_B!S75),7,0)+IF(ISNUMBER(Cek_B!S81),6,0)+IF(ISNUMBER(Cek_D!S5),10,0)+IF(ISNUMBER(Cek_D!S11),10,0)+IF(ISNUMBER(Cek_D!S17),10,0)+IF(ISNUMBER(Cek_D!S23),10,0)+IF(ISNUMBER(Cek_D!S31),10,0)+IF(ISNUMBER(Cek_D!S37),10,0)+IF(ISNUMBER(Cek_D!S43),10,0)+IF(ISNUMBER(Cek_D!S51),10,0)+IF(ISNUMBER(Cek_D!S57),10,0)+IF(ISNUMBER(Cek_D!S63),10,0))=0,"",(IF(ISNUMBER(Cek_B!S69),Cek_B!S69*7,0)+IF(ISNUMBER(Cek_B!S75),Cek_B!S75*7,0)+IF(ISNUMBER(Cek_B!S81),Cek_B!S81*6,0)+IF(ISNUMBER(Cek_D!S5),Cek_D!S5*10,0)+IF(ISNUMBER(Cek_D!S11),Cek_D!S11*10,0)+IF(ISNUMBER(Cek_D!S17),Cek_D!S17*10,0)+IF(ISNUMBER(Cek_D!S23),Cek_D!S23*10,0)+IF(ISNUMBER(Cek_D!S31),Cek_D!S31*10,0)+IF(ISNUMBER(Cek_D!S37),Cek_D!S37*10,0)+IF(ISNUMBER(Cek_D!S43),Cek_D!S43*10,0)+IF(ISNUMBER(Cek_D!S51),Cek_D!S51*10,0)+IF(ISNUMBER(Cek_D!S57),Cek_D!S57*10,0)+IF(ISNUMBER(Cek_D!S63),Cek_D!S63*10,0))/(IF(ISNUMBER(Cek_B!S69),7,0)+IF(ISNUMBER(Cek_B!S75),7,0)+IF(ISNUMBER(Cek_B!S81),6,0)+IF(ISNUMBER(Cek_D!S5),10,0)+IF(ISNUMBER(Cek_D!S11),10,0)+IF(ISNUMBER(Cek_D!S17),10,0)+IF(ISNUMBER(Cek_D!S23),10,0)+IF(ISNUMBER(Cek_D!S31),10,0)+IF(ISNUMBER(Cek_D!S37),10,0)+IF(ISNUMBER(Cek_D!S43),10,0)+IF(ISNUMBER(Cek_D!S51),10,0)+IF(ISNUMBER(Cek_D!S57),10,0)+IF(ISNUMBER(Cek_D!S63),10,0)))</f>
        <v/>
      </c>
      <c r="T7" s="9" t="str">
        <f>IF((IF(ISNUMBER(Cek_B!T69),7,0)+IF(ISNUMBER(Cek_B!T75),7,0)+IF(ISNUMBER(Cek_B!T81),6,0)+IF(ISNUMBER(Cek_D!T5),10,0)+IF(ISNUMBER(Cek_D!T11),10,0)+IF(ISNUMBER(Cek_D!T17),10,0)+IF(ISNUMBER(Cek_D!T23),10,0)+IF(ISNUMBER(Cek_D!T31),10,0)+IF(ISNUMBER(Cek_D!T37),10,0)+IF(ISNUMBER(Cek_D!T43),10,0)+IF(ISNUMBER(Cek_D!T51),10,0)+IF(ISNUMBER(Cek_D!T57),10,0)+IF(ISNUMBER(Cek_D!T63),10,0))=0,"",(IF(ISNUMBER(Cek_B!T69),Cek_B!T69*7,0)+IF(ISNUMBER(Cek_B!T75),Cek_B!T75*7,0)+IF(ISNUMBER(Cek_B!T81),Cek_B!T81*6,0)+IF(ISNUMBER(Cek_D!T5),Cek_D!T5*10,0)+IF(ISNUMBER(Cek_D!T11),Cek_D!T11*10,0)+IF(ISNUMBER(Cek_D!T17),Cek_D!T17*10,0)+IF(ISNUMBER(Cek_D!T23),Cek_D!T23*10,0)+IF(ISNUMBER(Cek_D!T31),Cek_D!T31*10,0)+IF(ISNUMBER(Cek_D!T37),Cek_D!T37*10,0)+IF(ISNUMBER(Cek_D!T43),Cek_D!T43*10,0)+IF(ISNUMBER(Cek_D!T51),Cek_D!T51*10,0)+IF(ISNUMBER(Cek_D!T57),Cek_D!T57*10,0)+IF(ISNUMBER(Cek_D!T63),Cek_D!T63*10,0))/(IF(ISNUMBER(Cek_B!T69),7,0)+IF(ISNUMBER(Cek_B!T75),7,0)+IF(ISNUMBER(Cek_B!T81),6,0)+IF(ISNUMBER(Cek_D!T5),10,0)+IF(ISNUMBER(Cek_D!T11),10,0)+IF(ISNUMBER(Cek_D!T17),10,0)+IF(ISNUMBER(Cek_D!T23),10,0)+IF(ISNUMBER(Cek_D!T31),10,0)+IF(ISNUMBER(Cek_D!T37),10,0)+IF(ISNUMBER(Cek_D!T43),10,0)+IF(ISNUMBER(Cek_D!T51),10,0)+IF(ISNUMBER(Cek_D!T57),10,0)+IF(ISNUMBER(Cek_D!T63),10,0)))</f>
        <v/>
      </c>
      <c r="U7" s="9" t="str">
        <f>IF((IF(ISNUMBER(Cek_B!U69),7,0)+IF(ISNUMBER(Cek_B!U75),7,0)+IF(ISNUMBER(Cek_B!U81),6,0)+IF(ISNUMBER(Cek_D!U5),10,0)+IF(ISNUMBER(Cek_D!U11),10,0)+IF(ISNUMBER(Cek_D!U17),10,0)+IF(ISNUMBER(Cek_D!U23),10,0)+IF(ISNUMBER(Cek_D!U31),10,0)+IF(ISNUMBER(Cek_D!U37),10,0)+IF(ISNUMBER(Cek_D!U43),10,0)+IF(ISNUMBER(Cek_D!U51),10,0)+IF(ISNUMBER(Cek_D!U57),10,0)+IF(ISNUMBER(Cek_D!U63),10,0))=0,"",(IF(ISNUMBER(Cek_B!U69),Cek_B!U69*7,0)+IF(ISNUMBER(Cek_B!U75),Cek_B!U75*7,0)+IF(ISNUMBER(Cek_B!U81),Cek_B!U81*6,0)+IF(ISNUMBER(Cek_D!U5),Cek_D!U5*10,0)+IF(ISNUMBER(Cek_D!U11),Cek_D!U11*10,0)+IF(ISNUMBER(Cek_D!U17),Cek_D!U17*10,0)+IF(ISNUMBER(Cek_D!U23),Cek_D!U23*10,0)+IF(ISNUMBER(Cek_D!U31),Cek_D!U31*10,0)+IF(ISNUMBER(Cek_D!U37),Cek_D!U37*10,0)+IF(ISNUMBER(Cek_D!U43),Cek_D!U43*10,0)+IF(ISNUMBER(Cek_D!U51),Cek_D!U51*10,0)+IF(ISNUMBER(Cek_D!U57),Cek_D!U57*10,0)+IF(ISNUMBER(Cek_D!U63),Cek_D!U63*10,0))/(IF(ISNUMBER(Cek_B!U69),7,0)+IF(ISNUMBER(Cek_B!U75),7,0)+IF(ISNUMBER(Cek_B!U81),6,0)+IF(ISNUMBER(Cek_D!U5),10,0)+IF(ISNUMBER(Cek_D!U11),10,0)+IF(ISNUMBER(Cek_D!U17),10,0)+IF(ISNUMBER(Cek_D!U23),10,0)+IF(ISNUMBER(Cek_D!U31),10,0)+IF(ISNUMBER(Cek_D!U37),10,0)+IF(ISNUMBER(Cek_D!U43),10,0)+IF(ISNUMBER(Cek_D!U51),10,0)+IF(ISNUMBER(Cek_D!U57),10,0)+IF(ISNUMBER(Cek_D!U63),10,0)))</f>
        <v/>
      </c>
      <c r="V7" s="9" t="str">
        <f>IF((IF(ISNUMBER(Cek_B!V69),7,0)+IF(ISNUMBER(Cek_B!V75),7,0)+IF(ISNUMBER(Cek_B!V81),6,0)+IF(ISNUMBER(Cek_D!V5),10,0)+IF(ISNUMBER(Cek_D!V11),10,0)+IF(ISNUMBER(Cek_D!V17),10,0)+IF(ISNUMBER(Cek_D!V23),10,0)+IF(ISNUMBER(Cek_D!V31),10,0)+IF(ISNUMBER(Cek_D!V37),10,0)+IF(ISNUMBER(Cek_D!V43),10,0)+IF(ISNUMBER(Cek_D!V51),10,0)+IF(ISNUMBER(Cek_D!V57),10,0)+IF(ISNUMBER(Cek_D!V63),10,0))=0,"",(IF(ISNUMBER(Cek_B!V69),Cek_B!V69*7,0)+IF(ISNUMBER(Cek_B!V75),Cek_B!V75*7,0)+IF(ISNUMBER(Cek_B!V81),Cek_B!V81*6,0)+IF(ISNUMBER(Cek_D!V5),Cek_D!V5*10,0)+IF(ISNUMBER(Cek_D!V11),Cek_D!V11*10,0)+IF(ISNUMBER(Cek_D!V17),Cek_D!V17*10,0)+IF(ISNUMBER(Cek_D!V23),Cek_D!V23*10,0)+IF(ISNUMBER(Cek_D!V31),Cek_D!V31*10,0)+IF(ISNUMBER(Cek_D!V37),Cek_D!V37*10,0)+IF(ISNUMBER(Cek_D!V43),Cek_D!V43*10,0)+IF(ISNUMBER(Cek_D!V51),Cek_D!V51*10,0)+IF(ISNUMBER(Cek_D!V57),Cek_D!V57*10,0)+IF(ISNUMBER(Cek_D!V63),Cek_D!V63*10,0))/(IF(ISNUMBER(Cek_B!V69),7,0)+IF(ISNUMBER(Cek_B!V75),7,0)+IF(ISNUMBER(Cek_B!V81),6,0)+IF(ISNUMBER(Cek_D!V5),10,0)+IF(ISNUMBER(Cek_D!V11),10,0)+IF(ISNUMBER(Cek_D!V17),10,0)+IF(ISNUMBER(Cek_D!V23),10,0)+IF(ISNUMBER(Cek_D!V31),10,0)+IF(ISNUMBER(Cek_D!V37),10,0)+IF(ISNUMBER(Cek_D!V43),10,0)+IF(ISNUMBER(Cek_D!V51),10,0)+IF(ISNUMBER(Cek_D!V57),10,0)+IF(ISNUMBER(Cek_D!V63),10,0)))</f>
        <v/>
      </c>
      <c r="W7" s="9" t="str">
        <f>IF((IF(ISNUMBER(Cek_B!W69),7,0)+IF(ISNUMBER(Cek_B!W75),7,0)+IF(ISNUMBER(Cek_B!W81),6,0)+IF(ISNUMBER(Cek_D!W5),10,0)+IF(ISNUMBER(Cek_D!W11),10,0)+IF(ISNUMBER(Cek_D!W17),10,0)+IF(ISNUMBER(Cek_D!W23),10,0)+IF(ISNUMBER(Cek_D!W31),10,0)+IF(ISNUMBER(Cek_D!W37),10,0)+IF(ISNUMBER(Cek_D!W43),10,0)+IF(ISNUMBER(Cek_D!W51),10,0)+IF(ISNUMBER(Cek_D!W57),10,0)+IF(ISNUMBER(Cek_D!W63),10,0))=0,"",(IF(ISNUMBER(Cek_B!W69),Cek_B!W69*7,0)+IF(ISNUMBER(Cek_B!W75),Cek_B!W75*7,0)+IF(ISNUMBER(Cek_B!W81),Cek_B!W81*6,0)+IF(ISNUMBER(Cek_D!W5),Cek_D!W5*10,0)+IF(ISNUMBER(Cek_D!W11),Cek_D!W11*10,0)+IF(ISNUMBER(Cek_D!W17),Cek_D!W17*10,0)+IF(ISNUMBER(Cek_D!W23),Cek_D!W23*10,0)+IF(ISNUMBER(Cek_D!W31),Cek_D!W31*10,0)+IF(ISNUMBER(Cek_D!W37),Cek_D!W37*10,0)+IF(ISNUMBER(Cek_D!W43),Cek_D!W43*10,0)+IF(ISNUMBER(Cek_D!W51),Cek_D!W51*10,0)+IF(ISNUMBER(Cek_D!W57),Cek_D!W57*10,0)+IF(ISNUMBER(Cek_D!W63),Cek_D!W63*10,0))/(IF(ISNUMBER(Cek_B!W69),7,0)+IF(ISNUMBER(Cek_B!W75),7,0)+IF(ISNUMBER(Cek_B!W81),6,0)+IF(ISNUMBER(Cek_D!W5),10,0)+IF(ISNUMBER(Cek_D!W11),10,0)+IF(ISNUMBER(Cek_D!W17),10,0)+IF(ISNUMBER(Cek_D!W23),10,0)+IF(ISNUMBER(Cek_D!W31),10,0)+IF(ISNUMBER(Cek_D!W37),10,0)+IF(ISNUMBER(Cek_D!W43),10,0)+IF(ISNUMBER(Cek_D!W51),10,0)+IF(ISNUMBER(Cek_D!W57),10,0)+IF(ISNUMBER(Cek_D!W63),10,0)))</f>
        <v/>
      </c>
      <c r="X7" s="9" t="str">
        <f>IF((IF(ISNUMBER(Cek_B!X69),7,0)+IF(ISNUMBER(Cek_B!X75),7,0)+IF(ISNUMBER(Cek_B!X81),6,0)+IF(ISNUMBER(Cek_D!X5),10,0)+IF(ISNUMBER(Cek_D!X11),10,0)+IF(ISNUMBER(Cek_D!X17),10,0)+IF(ISNUMBER(Cek_D!X23),10,0)+IF(ISNUMBER(Cek_D!X31),10,0)+IF(ISNUMBER(Cek_D!X37),10,0)+IF(ISNUMBER(Cek_D!X43),10,0)+IF(ISNUMBER(Cek_D!X51),10,0)+IF(ISNUMBER(Cek_D!X57),10,0)+IF(ISNUMBER(Cek_D!X63),10,0))=0,"",(IF(ISNUMBER(Cek_B!X69),Cek_B!X69*7,0)+IF(ISNUMBER(Cek_B!X75),Cek_B!X75*7,0)+IF(ISNUMBER(Cek_B!X81),Cek_B!X81*6,0)+IF(ISNUMBER(Cek_D!X5),Cek_D!X5*10,0)+IF(ISNUMBER(Cek_D!X11),Cek_D!X11*10,0)+IF(ISNUMBER(Cek_D!X17),Cek_D!X17*10,0)+IF(ISNUMBER(Cek_D!X23),Cek_D!X23*10,0)+IF(ISNUMBER(Cek_D!X31),Cek_D!X31*10,0)+IF(ISNUMBER(Cek_D!X37),Cek_D!X37*10,0)+IF(ISNUMBER(Cek_D!X43),Cek_D!X43*10,0)+IF(ISNUMBER(Cek_D!X51),Cek_D!X51*10,0)+IF(ISNUMBER(Cek_D!X57),Cek_D!X57*10,0)+IF(ISNUMBER(Cek_D!X63),Cek_D!X63*10,0))/(IF(ISNUMBER(Cek_B!X69),7,0)+IF(ISNUMBER(Cek_B!X75),7,0)+IF(ISNUMBER(Cek_B!X81),6,0)+IF(ISNUMBER(Cek_D!X5),10,0)+IF(ISNUMBER(Cek_D!X11),10,0)+IF(ISNUMBER(Cek_D!X17),10,0)+IF(ISNUMBER(Cek_D!X23),10,0)+IF(ISNUMBER(Cek_D!X31),10,0)+IF(ISNUMBER(Cek_D!X37),10,0)+IF(ISNUMBER(Cek_D!X43),10,0)+IF(ISNUMBER(Cek_D!X51),10,0)+IF(ISNUMBER(Cek_D!X57),10,0)+IF(ISNUMBER(Cek_D!X63),10,0)))</f>
        <v/>
      </c>
      <c r="Y7" s="9" t="str">
        <f>IF((IF(ISNUMBER(Cek_B!Y69),7,0)+IF(ISNUMBER(Cek_B!Y75),7,0)+IF(ISNUMBER(Cek_B!Y81),6,0)+IF(ISNUMBER(Cek_D!Y5),10,0)+IF(ISNUMBER(Cek_D!Y11),10,0)+IF(ISNUMBER(Cek_D!Y17),10,0)+IF(ISNUMBER(Cek_D!Y23),10,0)+IF(ISNUMBER(Cek_D!Y31),10,0)+IF(ISNUMBER(Cek_D!Y37),10,0)+IF(ISNUMBER(Cek_D!Y43),10,0)+IF(ISNUMBER(Cek_D!Y51),10,0)+IF(ISNUMBER(Cek_D!Y57),10,0)+IF(ISNUMBER(Cek_D!Y63),10,0))=0,"",(IF(ISNUMBER(Cek_B!Y69),Cek_B!Y69*7,0)+IF(ISNUMBER(Cek_B!Y75),Cek_B!Y75*7,0)+IF(ISNUMBER(Cek_B!Y81),Cek_B!Y81*6,0)+IF(ISNUMBER(Cek_D!Y5),Cek_D!Y5*10,0)+IF(ISNUMBER(Cek_D!Y11),Cek_D!Y11*10,0)+IF(ISNUMBER(Cek_D!Y17),Cek_D!Y17*10,0)+IF(ISNUMBER(Cek_D!Y23),Cek_D!Y23*10,0)+IF(ISNUMBER(Cek_D!Y31),Cek_D!Y31*10,0)+IF(ISNUMBER(Cek_D!Y37),Cek_D!Y37*10,0)+IF(ISNUMBER(Cek_D!Y43),Cek_D!Y43*10,0)+IF(ISNUMBER(Cek_D!Y51),Cek_D!Y51*10,0)+IF(ISNUMBER(Cek_D!Y57),Cek_D!Y57*10,0)+IF(ISNUMBER(Cek_D!Y63),Cek_D!Y63*10,0))/(IF(ISNUMBER(Cek_B!Y69),7,0)+IF(ISNUMBER(Cek_B!Y75),7,0)+IF(ISNUMBER(Cek_B!Y81),6,0)+IF(ISNUMBER(Cek_D!Y5),10,0)+IF(ISNUMBER(Cek_D!Y11),10,0)+IF(ISNUMBER(Cek_D!Y17),10,0)+IF(ISNUMBER(Cek_D!Y23),10,0)+IF(ISNUMBER(Cek_D!Y31),10,0)+IF(ISNUMBER(Cek_D!Y37),10,0)+IF(ISNUMBER(Cek_D!Y43),10,0)+IF(ISNUMBER(Cek_D!Y51),10,0)+IF(ISNUMBER(Cek_D!Y57),10,0)+IF(ISNUMBER(Cek_D!Y63),10,0)))</f>
        <v/>
      </c>
      <c r="Z7" s="9" t="str">
        <f>_xlfn.IFERROR(AVERAGE(E7:Y7),"")</f>
        <v/>
      </c>
    </row>
    <row r="8" spans="8:8" ht="26.0" customHeight="1">
      <c r="A8" s="7">
        <v>5.0</v>
      </c>
      <c r="B8" s="42" t="s">
        <v>16</v>
      </c>
      <c r="C8" s="43" t="s">
        <v>459</v>
      </c>
      <c r="D8" s="32"/>
      <c r="E8" s="9" t="str">
        <f>IF((IF(ISNUMBER(Cek_B!E89),50,0)+IF(ISNUMBER(Cek_B!E95),50,0))=0,"",(IF(ISNUMBER(Cek_B!E89),Cek_B!E89*50,0)+IF(ISNUMBER(Cek_B!E95),Cek_B!E95*50,0))/(IF(ISNUMBER(Cek_B!E89),50,0)+IF(ISNUMBER(Cek_B!E95),50,0)))</f>
        <v/>
      </c>
      <c r="F8" s="9" t="str">
        <f>IF((IF(ISNUMBER(Cek_B!F89),50,0)+IF(ISNUMBER(Cek_B!F95),50,0))=0,"",(IF(ISNUMBER(Cek_B!F89),Cek_B!F89*50,0)+IF(ISNUMBER(Cek_B!F95),Cek_B!F95*50,0))/(IF(ISNUMBER(Cek_B!F89),50,0)+IF(ISNUMBER(Cek_B!F95),50,0)))</f>
        <v/>
      </c>
      <c r="G8" s="9" t="str">
        <f>IF((IF(ISNUMBER(Cek_B!G89),50,0)+IF(ISNUMBER(Cek_B!G95),50,0))=0,"",(IF(ISNUMBER(Cek_B!G89),Cek_B!G89*50,0)+IF(ISNUMBER(Cek_B!G95),Cek_B!G95*50,0))/(IF(ISNUMBER(Cek_B!G89),50,0)+IF(ISNUMBER(Cek_B!G95),50,0)))</f>
        <v/>
      </c>
      <c r="H8" s="9" t="str">
        <f>IF((IF(ISNUMBER(Cek_B!H89),50,0)+IF(ISNUMBER(Cek_B!H95),50,0))=0,"",(IF(ISNUMBER(Cek_B!H89),Cek_B!H89*50,0)+IF(ISNUMBER(Cek_B!H95),Cek_B!H95*50,0))/(IF(ISNUMBER(Cek_B!H89),50,0)+IF(ISNUMBER(Cek_B!H95),50,0)))</f>
        <v/>
      </c>
      <c r="I8" s="9" t="str">
        <f>IF((IF(ISNUMBER(Cek_B!I89),50,0)+IF(ISNUMBER(Cek_B!I95),50,0))=0,"",(IF(ISNUMBER(Cek_B!I89),Cek_B!I89*50,0)+IF(ISNUMBER(Cek_B!I95),Cek_B!I95*50,0))/(IF(ISNUMBER(Cek_B!I89),50,0)+IF(ISNUMBER(Cek_B!I95),50,0)))</f>
        <v/>
      </c>
      <c r="J8" s="9" t="str">
        <f>IF((IF(ISNUMBER(Cek_B!J89),50,0)+IF(ISNUMBER(Cek_B!J95),50,0))=0,"",(IF(ISNUMBER(Cek_B!J89),Cek_B!J89*50,0)+IF(ISNUMBER(Cek_B!J95),Cek_B!J95*50,0))/(IF(ISNUMBER(Cek_B!J89),50,0)+IF(ISNUMBER(Cek_B!J95),50,0)))</f>
        <v/>
      </c>
      <c r="K8" s="9" t="str">
        <f>IF((IF(ISNUMBER(Cek_B!K89),50,0)+IF(ISNUMBER(Cek_B!K95),50,0))=0,"",(IF(ISNUMBER(Cek_B!K89),Cek_B!K89*50,0)+IF(ISNUMBER(Cek_B!K95),Cek_B!K95*50,0))/(IF(ISNUMBER(Cek_B!K89),50,0)+IF(ISNUMBER(Cek_B!K95),50,0)))</f>
        <v/>
      </c>
      <c r="L8" s="9" t="str">
        <f>IF((IF(ISNUMBER(Cek_B!L89),50,0)+IF(ISNUMBER(Cek_B!L95),50,0))=0,"",(IF(ISNUMBER(Cek_B!L89),Cek_B!L89*50,0)+IF(ISNUMBER(Cek_B!L95),Cek_B!L95*50,0))/(IF(ISNUMBER(Cek_B!L89),50,0)+IF(ISNUMBER(Cek_B!L95),50,0)))</f>
        <v/>
      </c>
      <c r="M8" s="9" t="str">
        <f>IF((IF(ISNUMBER(Cek_B!M89),50,0)+IF(ISNUMBER(Cek_B!M95),50,0))=0,"",(IF(ISNUMBER(Cek_B!M89),Cek_B!M89*50,0)+IF(ISNUMBER(Cek_B!M95),Cek_B!M95*50,0))/(IF(ISNUMBER(Cek_B!M89),50,0)+IF(ISNUMBER(Cek_B!M95),50,0)))</f>
        <v/>
      </c>
      <c r="N8" s="9" t="str">
        <f>IF((IF(ISNUMBER(Cek_B!N89),50,0)+IF(ISNUMBER(Cek_B!N95),50,0))=0,"",(IF(ISNUMBER(Cek_B!N89),Cek_B!N89*50,0)+IF(ISNUMBER(Cek_B!N95),Cek_B!N95*50,0))/(IF(ISNUMBER(Cek_B!N89),50,0)+IF(ISNUMBER(Cek_B!N95),50,0)))</f>
        <v/>
      </c>
      <c r="O8" s="9" t="str">
        <f>IF((IF(ISNUMBER(Cek_B!O89),50,0)+IF(ISNUMBER(Cek_B!O95),50,0))=0,"",(IF(ISNUMBER(Cek_B!O89),Cek_B!O89*50,0)+IF(ISNUMBER(Cek_B!O95),Cek_B!O95*50,0))/(IF(ISNUMBER(Cek_B!O89),50,0)+IF(ISNUMBER(Cek_B!O95),50,0)))</f>
        <v/>
      </c>
      <c r="P8" s="9" t="str">
        <f>IF((IF(ISNUMBER(Cek_B!P89),50,0)+IF(ISNUMBER(Cek_B!P95),50,0))=0,"",(IF(ISNUMBER(Cek_B!P89),Cek_B!P89*50,0)+IF(ISNUMBER(Cek_B!P95),Cek_B!P95*50,0))/(IF(ISNUMBER(Cek_B!P89),50,0)+IF(ISNUMBER(Cek_B!P95),50,0)))</f>
        <v/>
      </c>
      <c r="Q8" s="9" t="str">
        <f>IF((IF(ISNUMBER(Cek_B!Q89),50,0)+IF(ISNUMBER(Cek_B!Q95),50,0))=0,"",(IF(ISNUMBER(Cek_B!Q89),Cek_B!Q89*50,0)+IF(ISNUMBER(Cek_B!Q95),Cek_B!Q95*50,0))/(IF(ISNUMBER(Cek_B!Q89),50,0)+IF(ISNUMBER(Cek_B!Q95),50,0)))</f>
        <v/>
      </c>
      <c r="R8" s="9" t="str">
        <f>IF((IF(ISNUMBER(Cek_B!R89),50,0)+IF(ISNUMBER(Cek_B!R95),50,0))=0,"",(IF(ISNUMBER(Cek_B!R89),Cek_B!R89*50,0)+IF(ISNUMBER(Cek_B!R95),Cek_B!R95*50,0))/(IF(ISNUMBER(Cek_B!R89),50,0)+IF(ISNUMBER(Cek_B!R95),50,0)))</f>
        <v/>
      </c>
      <c r="S8" s="9" t="str">
        <f>IF((IF(ISNUMBER(Cek_B!S89),50,0)+IF(ISNUMBER(Cek_B!S95),50,0))=0,"",(IF(ISNUMBER(Cek_B!S89),Cek_B!S89*50,0)+IF(ISNUMBER(Cek_B!S95),Cek_B!S95*50,0))/(IF(ISNUMBER(Cek_B!S89),50,0)+IF(ISNUMBER(Cek_B!S95),50,0)))</f>
        <v/>
      </c>
      <c r="T8" s="9" t="str">
        <f>IF((IF(ISNUMBER(Cek_B!T89),50,0)+IF(ISNUMBER(Cek_B!T95),50,0))=0,"",(IF(ISNUMBER(Cek_B!T89),Cek_B!T89*50,0)+IF(ISNUMBER(Cek_B!T95),Cek_B!T95*50,0))/(IF(ISNUMBER(Cek_B!T89),50,0)+IF(ISNUMBER(Cek_B!T95),50,0)))</f>
        <v/>
      </c>
      <c r="U8" s="9" t="str">
        <f>IF((IF(ISNUMBER(Cek_B!U89),50,0)+IF(ISNUMBER(Cek_B!U95),50,0))=0,"",(IF(ISNUMBER(Cek_B!U89),Cek_B!U89*50,0)+IF(ISNUMBER(Cek_B!U95),Cek_B!U95*50,0))/(IF(ISNUMBER(Cek_B!U89),50,0)+IF(ISNUMBER(Cek_B!U95),50,0)))</f>
        <v/>
      </c>
      <c r="V8" s="9" t="str">
        <f>IF((IF(ISNUMBER(Cek_B!V89),50,0)+IF(ISNUMBER(Cek_B!V95),50,0))=0,"",(IF(ISNUMBER(Cek_B!V89),Cek_B!V89*50,0)+IF(ISNUMBER(Cek_B!V95),Cek_B!V95*50,0))/(IF(ISNUMBER(Cek_B!V89),50,0)+IF(ISNUMBER(Cek_B!V95),50,0)))</f>
        <v/>
      </c>
      <c r="W8" s="9" t="str">
        <f>IF((IF(ISNUMBER(Cek_B!W89),50,0)+IF(ISNUMBER(Cek_B!W95),50,0))=0,"",(IF(ISNUMBER(Cek_B!W89),Cek_B!W89*50,0)+IF(ISNUMBER(Cek_B!W95),Cek_B!W95*50,0))/(IF(ISNUMBER(Cek_B!W89),50,0)+IF(ISNUMBER(Cek_B!W95),50,0)))</f>
        <v/>
      </c>
      <c r="X8" s="9" t="str">
        <f>IF((IF(ISNUMBER(Cek_B!X89),50,0)+IF(ISNUMBER(Cek_B!X95),50,0))=0,"",(IF(ISNUMBER(Cek_B!X89),Cek_B!X89*50,0)+IF(ISNUMBER(Cek_B!X95),Cek_B!X95*50,0))/(IF(ISNUMBER(Cek_B!X89),50,0)+IF(ISNUMBER(Cek_B!X95),50,0)))</f>
        <v/>
      </c>
      <c r="Y8" s="9" t="str">
        <f>IF((IF(ISNUMBER(Cek_B!Y89),50,0)+IF(ISNUMBER(Cek_B!Y95),50,0))=0,"",(IF(ISNUMBER(Cek_B!Y89),Cek_B!Y89*50,0)+IF(ISNUMBER(Cek_B!Y95),Cek_B!Y95*50,0))/(IF(ISNUMBER(Cek_B!Y89),50,0)+IF(ISNUMBER(Cek_B!Y95),50,0)))</f>
        <v/>
      </c>
      <c r="Z8" s="9" t="str">
        <f>_xlfn.IFERROR(AVERAGE(E8:Y8),"")</f>
        <v/>
      </c>
    </row>
    <row r="9" spans="8:8" ht="26.0" customHeight="1">
      <c r="A9" s="7">
        <v>6.0</v>
      </c>
      <c r="B9" s="42" t="s">
        <v>17</v>
      </c>
      <c r="C9" s="43" t="s">
        <v>460</v>
      </c>
      <c r="D9" s="32"/>
      <c r="E9" s="9" t="str">
        <f>IF((IF(ISNUMBER(Cek_E!E5),6.7,0)+IF(ISNUMBER(Cek_E!E11),6.7,0)+IF(ISNUMBER(Cek_E!E17),6.6,0)+IF(ISNUMBER(Cek_E!E25),6.7,0)+IF(ISNUMBER(Cek_E!E31),6.7,0)+IF(ISNUMBER(Cek_E!E37),6.6,0)+IF(ISNUMBER(Cek_E!E45),6.7,0)+IF(ISNUMBER(Cek_E!E51),6.7,0)+IF(ISNUMBER(Cek_E!E57),6.6,0)+IF(ISNUMBER(Cek_E!E65),5,0)+IF(ISNUMBER(Cek_E!E71),5,0)+IF(ISNUMBER(Cek_E!E77),5,0)+IF(ISNUMBER(Cek_E!E83),5,0)+IF(ISNUMBER(Cek_E!E91),10,0)+IF(ISNUMBER(Cek_E!E97),10,0)+IF(ISNUMBER(Cek_E!E105),20,0)+IF(ISNUMBER(Cek_E!E111),20,0)+IF(ISNUMBER(Cek_E!E117),20,0)+IF(ISNUMBER(Cek_E!E123),20,0)+IF(ISNUMBER(Cek_E!E129),20,0))=0,"",(IF(ISNUMBER(Cek_E!E5),Cek_E!E5*6.7,0)+IF(ISNUMBER(Cek_E!E11),Cek_E!E11*6.7,0)+IF(ISNUMBER(Cek_E!E17),Cek_E!E17*6.6,0)+IF(ISNUMBER(Cek_E!E25),Cek_E!E25*6.7,0)+IF(ISNUMBER(Cek_E!E31),Cek_E!E31*6.7,0)+IF(ISNUMBER(Cek_E!E37),Cek_E!E37*6.6,0)+IF(ISNUMBER(Cek_E!E45),Cek_E!E45*6.7,0)+IF(ISNUMBER(Cek_E!E51),Cek_E!E51*6.7,0)+IF(ISNUMBER(Cek_E!E57),Cek_E!E57*6.6,0)+IF(ISNUMBER(Cek_E!E65),Cek_E!E65*5,0)+IF(ISNUMBER(Cek_E!E71),Cek_E!E71*5,0)+IF(ISNUMBER(Cek_E!E77),Cek_E!E77*5,0)+IF(ISNUMBER(Cek_E!E83),Cek_E!E83*5,0)+IF(ISNUMBER(Cek_E!E91),Cek_E!E91*10,0)+IF(ISNUMBER(Cek_E!E97),Cek_E!E97*10,0)+IF(ISNUMBER(Cek_E!E105),Cek_E!E105*20,0)+IF(ISNUMBER(Cek_E!E111),Cek_E!E111*20,0)+IF(ISNUMBER(Cek_E!E117),Cek_E!E117*20,0)+IF(ISNUMBER(Cek_E!E123),Cek_E!E123*20,0)+IF(ISNUMBER(Cek_E!E129),Cek_E!E129*20,0))/(IF(ISNUMBER(Cek_E!E5),6.7,0)+IF(ISNUMBER(Cek_E!E11),6.7,0)+IF(ISNUMBER(Cek_E!E17),6.6,0)+IF(ISNUMBER(Cek_E!E25),6.7,0)+IF(ISNUMBER(Cek_E!E31),6.7,0)+IF(ISNUMBER(Cek_E!E37),6.6,0)+IF(ISNUMBER(Cek_E!E45),6.7,0)+IF(ISNUMBER(Cek_E!E51),6.7,0)+IF(ISNUMBER(Cek_E!E57),6.6,0)+IF(ISNUMBER(Cek_E!E65),5,0)+IF(ISNUMBER(Cek_E!E71),5,0)+IF(ISNUMBER(Cek_E!E77),5,0)+IF(ISNUMBER(Cek_E!E83),5,0)+IF(ISNUMBER(Cek_E!E91),10,0)+IF(ISNUMBER(Cek_E!E97),10,0)+IF(ISNUMBER(Cek_E!E105),20,0)+IF(ISNUMBER(Cek_E!E111),20,0)+IF(ISNUMBER(Cek_E!E117),20,0)+IF(ISNUMBER(Cek_E!E123),20,0)+IF(ISNUMBER(Cek_E!E129),20,0)))</f>
        <v/>
      </c>
      <c r="F9" s="9" t="str">
        <f>IF((IF(ISNUMBER(Cek_E!F5),6.7,0)+IF(ISNUMBER(Cek_E!F11),6.7,0)+IF(ISNUMBER(Cek_E!F17),6.6,0)+IF(ISNUMBER(Cek_E!F25),6.7,0)+IF(ISNUMBER(Cek_E!F31),6.7,0)+IF(ISNUMBER(Cek_E!F37),6.6,0)+IF(ISNUMBER(Cek_E!F45),6.7,0)+IF(ISNUMBER(Cek_E!F51),6.7,0)+IF(ISNUMBER(Cek_E!F57),6.6,0)+IF(ISNUMBER(Cek_E!F65),5,0)+IF(ISNUMBER(Cek_E!F71),5,0)+IF(ISNUMBER(Cek_E!F77),5,0)+IF(ISNUMBER(Cek_E!F83),5,0)+IF(ISNUMBER(Cek_E!F91),10,0)+IF(ISNUMBER(Cek_E!F97),10,0)+IF(ISNUMBER(Cek_E!F105),20,0)+IF(ISNUMBER(Cek_E!F111),20,0)+IF(ISNUMBER(Cek_E!F117),20,0)+IF(ISNUMBER(Cek_E!F123),20,0)+IF(ISNUMBER(Cek_E!F129),20,0))=0,"",(IF(ISNUMBER(Cek_E!F5),Cek_E!F5*6.7,0)+IF(ISNUMBER(Cek_E!F11),Cek_E!F11*6.7,0)+IF(ISNUMBER(Cek_E!F17),Cek_E!F17*6.6,0)+IF(ISNUMBER(Cek_E!F25),Cek_E!F25*6.7,0)+IF(ISNUMBER(Cek_E!F31),Cek_E!F31*6.7,0)+IF(ISNUMBER(Cek_E!F37),Cek_E!F37*6.6,0)+IF(ISNUMBER(Cek_E!F45),Cek_E!F45*6.7,0)+IF(ISNUMBER(Cek_E!F51),Cek_E!F51*6.7,0)+IF(ISNUMBER(Cek_E!F57),Cek_E!F57*6.6,0)+IF(ISNUMBER(Cek_E!F65),Cek_E!F65*5,0)+IF(ISNUMBER(Cek_E!F71),Cek_E!F71*5,0)+IF(ISNUMBER(Cek_E!F77),Cek_E!F77*5,0)+IF(ISNUMBER(Cek_E!F83),Cek_E!F83*5,0)+IF(ISNUMBER(Cek_E!F91),Cek_E!F91*10,0)+IF(ISNUMBER(Cek_E!F97),Cek_E!F97*10,0)+IF(ISNUMBER(Cek_E!F105),Cek_E!F105*20,0)+IF(ISNUMBER(Cek_E!F111),Cek_E!F111*20,0)+IF(ISNUMBER(Cek_E!F117),Cek_E!F117*20,0)+IF(ISNUMBER(Cek_E!F123),Cek_E!F123*20,0)+IF(ISNUMBER(Cek_E!F129),Cek_E!F129*20,0))/(IF(ISNUMBER(Cek_E!F5),6.7,0)+IF(ISNUMBER(Cek_E!F11),6.7,0)+IF(ISNUMBER(Cek_E!F17),6.6,0)+IF(ISNUMBER(Cek_E!F25),6.7,0)+IF(ISNUMBER(Cek_E!F31),6.7,0)+IF(ISNUMBER(Cek_E!F37),6.6,0)+IF(ISNUMBER(Cek_E!F45),6.7,0)+IF(ISNUMBER(Cek_E!F51),6.7,0)+IF(ISNUMBER(Cek_E!F57),6.6,0)+IF(ISNUMBER(Cek_E!F65),5,0)+IF(ISNUMBER(Cek_E!F71),5,0)+IF(ISNUMBER(Cek_E!F77),5,0)+IF(ISNUMBER(Cek_E!F83),5,0)+IF(ISNUMBER(Cek_E!F91),10,0)+IF(ISNUMBER(Cek_E!F97),10,0)+IF(ISNUMBER(Cek_E!F105),20,0)+IF(ISNUMBER(Cek_E!F111),20,0)+IF(ISNUMBER(Cek_E!F117),20,0)+IF(ISNUMBER(Cek_E!F123),20,0)+IF(ISNUMBER(Cek_E!F129),20,0)))</f>
        <v/>
      </c>
      <c r="G9" s="9" t="str">
        <f>IF((IF(ISNUMBER(Cek_E!G5),6.7,0)+IF(ISNUMBER(Cek_E!G11),6.7,0)+IF(ISNUMBER(Cek_E!G17),6.6,0)+IF(ISNUMBER(Cek_E!G25),6.7,0)+IF(ISNUMBER(Cek_E!G31),6.7,0)+IF(ISNUMBER(Cek_E!G37),6.6,0)+IF(ISNUMBER(Cek_E!G45),6.7,0)+IF(ISNUMBER(Cek_E!G51),6.7,0)+IF(ISNUMBER(Cek_E!G57),6.6,0)+IF(ISNUMBER(Cek_E!G65),5,0)+IF(ISNUMBER(Cek_E!G71),5,0)+IF(ISNUMBER(Cek_E!G77),5,0)+IF(ISNUMBER(Cek_E!G83),5,0)+IF(ISNUMBER(Cek_E!G91),10,0)+IF(ISNUMBER(Cek_E!G97),10,0)+IF(ISNUMBER(Cek_E!G105),20,0)+IF(ISNUMBER(Cek_E!G111),20,0)+IF(ISNUMBER(Cek_E!G117),20,0)+IF(ISNUMBER(Cek_E!G123),20,0)+IF(ISNUMBER(Cek_E!G129),20,0))=0,"",(IF(ISNUMBER(Cek_E!G5),Cek_E!G5*6.7,0)+IF(ISNUMBER(Cek_E!G11),Cek_E!G11*6.7,0)+IF(ISNUMBER(Cek_E!G17),Cek_E!G17*6.6,0)+IF(ISNUMBER(Cek_E!G25),Cek_E!G25*6.7,0)+IF(ISNUMBER(Cek_E!G31),Cek_E!G31*6.7,0)+IF(ISNUMBER(Cek_E!G37),Cek_E!G37*6.6,0)+IF(ISNUMBER(Cek_E!G45),Cek_E!G45*6.7,0)+IF(ISNUMBER(Cek_E!G51),Cek_E!G51*6.7,0)+IF(ISNUMBER(Cek_E!G57),Cek_E!G57*6.6,0)+IF(ISNUMBER(Cek_E!G65),Cek_E!G65*5,0)+IF(ISNUMBER(Cek_E!G71),Cek_E!G71*5,0)+IF(ISNUMBER(Cek_E!G77),Cek_E!G77*5,0)+IF(ISNUMBER(Cek_E!G83),Cek_E!G83*5,0)+IF(ISNUMBER(Cek_E!G91),Cek_E!G91*10,0)+IF(ISNUMBER(Cek_E!G97),Cek_E!G97*10,0)+IF(ISNUMBER(Cek_E!G105),Cek_E!G105*20,0)+IF(ISNUMBER(Cek_E!G111),Cek_E!G111*20,0)+IF(ISNUMBER(Cek_E!G117),Cek_E!G117*20,0)+IF(ISNUMBER(Cek_E!G123),Cek_E!G123*20,0)+IF(ISNUMBER(Cek_E!G129),Cek_E!G129*20,0))/(IF(ISNUMBER(Cek_E!G5),6.7,0)+IF(ISNUMBER(Cek_E!G11),6.7,0)+IF(ISNUMBER(Cek_E!G17),6.6,0)+IF(ISNUMBER(Cek_E!G25),6.7,0)+IF(ISNUMBER(Cek_E!G31),6.7,0)+IF(ISNUMBER(Cek_E!G37),6.6,0)+IF(ISNUMBER(Cek_E!G45),6.7,0)+IF(ISNUMBER(Cek_E!G51),6.7,0)+IF(ISNUMBER(Cek_E!G57),6.6,0)+IF(ISNUMBER(Cek_E!G65),5,0)+IF(ISNUMBER(Cek_E!G71),5,0)+IF(ISNUMBER(Cek_E!G77),5,0)+IF(ISNUMBER(Cek_E!G83),5,0)+IF(ISNUMBER(Cek_E!G91),10,0)+IF(ISNUMBER(Cek_E!G97),10,0)+IF(ISNUMBER(Cek_E!G105),20,0)+IF(ISNUMBER(Cek_E!G111),20,0)+IF(ISNUMBER(Cek_E!G117),20,0)+IF(ISNUMBER(Cek_E!G123),20,0)+IF(ISNUMBER(Cek_E!G129),20,0)))</f>
        <v/>
      </c>
      <c r="H9" s="9" t="str">
        <f>IF((IF(ISNUMBER(Cek_E!H5),6.7,0)+IF(ISNUMBER(Cek_E!H11),6.7,0)+IF(ISNUMBER(Cek_E!H17),6.6,0)+IF(ISNUMBER(Cek_E!H25),6.7,0)+IF(ISNUMBER(Cek_E!H31),6.7,0)+IF(ISNUMBER(Cek_E!H37),6.6,0)+IF(ISNUMBER(Cek_E!H45),6.7,0)+IF(ISNUMBER(Cek_E!H51),6.7,0)+IF(ISNUMBER(Cek_E!H57),6.6,0)+IF(ISNUMBER(Cek_E!H65),5,0)+IF(ISNUMBER(Cek_E!H71),5,0)+IF(ISNUMBER(Cek_E!H77),5,0)+IF(ISNUMBER(Cek_E!H83),5,0)+IF(ISNUMBER(Cek_E!H91),10,0)+IF(ISNUMBER(Cek_E!H97),10,0)+IF(ISNUMBER(Cek_E!H105),20,0)+IF(ISNUMBER(Cek_E!H111),20,0)+IF(ISNUMBER(Cek_E!H117),20,0)+IF(ISNUMBER(Cek_E!H123),20,0)+IF(ISNUMBER(Cek_E!H129),20,0))=0,"",(IF(ISNUMBER(Cek_E!H5),Cek_E!H5*6.7,0)+IF(ISNUMBER(Cek_E!H11),Cek_E!H11*6.7,0)+IF(ISNUMBER(Cek_E!H17),Cek_E!H17*6.6,0)+IF(ISNUMBER(Cek_E!H25),Cek_E!H25*6.7,0)+IF(ISNUMBER(Cek_E!H31),Cek_E!H31*6.7,0)+IF(ISNUMBER(Cek_E!H37),Cek_E!H37*6.6,0)+IF(ISNUMBER(Cek_E!H45),Cek_E!H45*6.7,0)+IF(ISNUMBER(Cek_E!H51),Cek_E!H51*6.7,0)+IF(ISNUMBER(Cek_E!H57),Cek_E!H57*6.6,0)+IF(ISNUMBER(Cek_E!H65),Cek_E!H65*5,0)+IF(ISNUMBER(Cek_E!H71),Cek_E!H71*5,0)+IF(ISNUMBER(Cek_E!H77),Cek_E!H77*5,0)+IF(ISNUMBER(Cek_E!H83),Cek_E!H83*5,0)+IF(ISNUMBER(Cek_E!H91),Cek_E!H91*10,0)+IF(ISNUMBER(Cek_E!H97),Cek_E!H97*10,0)+IF(ISNUMBER(Cek_E!H105),Cek_E!H105*20,0)+IF(ISNUMBER(Cek_E!H111),Cek_E!H111*20,0)+IF(ISNUMBER(Cek_E!H117),Cek_E!H117*20,0)+IF(ISNUMBER(Cek_E!H123),Cek_E!H123*20,0)+IF(ISNUMBER(Cek_E!H129),Cek_E!H129*20,0))/(IF(ISNUMBER(Cek_E!H5),6.7,0)+IF(ISNUMBER(Cek_E!H11),6.7,0)+IF(ISNUMBER(Cek_E!H17),6.6,0)+IF(ISNUMBER(Cek_E!H25),6.7,0)+IF(ISNUMBER(Cek_E!H31),6.7,0)+IF(ISNUMBER(Cek_E!H37),6.6,0)+IF(ISNUMBER(Cek_E!H45),6.7,0)+IF(ISNUMBER(Cek_E!H51),6.7,0)+IF(ISNUMBER(Cek_E!H57),6.6,0)+IF(ISNUMBER(Cek_E!H65),5,0)+IF(ISNUMBER(Cek_E!H71),5,0)+IF(ISNUMBER(Cek_E!H77),5,0)+IF(ISNUMBER(Cek_E!H83),5,0)+IF(ISNUMBER(Cek_E!H91),10,0)+IF(ISNUMBER(Cek_E!H97),10,0)+IF(ISNUMBER(Cek_E!H105),20,0)+IF(ISNUMBER(Cek_E!H111),20,0)+IF(ISNUMBER(Cek_E!H117),20,0)+IF(ISNUMBER(Cek_E!H123),20,0)+IF(ISNUMBER(Cek_E!H129),20,0)))</f>
        <v/>
      </c>
      <c r="I9" s="9" t="str">
        <f>IF((IF(ISNUMBER(Cek_E!I5),6.7,0)+IF(ISNUMBER(Cek_E!I11),6.7,0)+IF(ISNUMBER(Cek_E!I17),6.6,0)+IF(ISNUMBER(Cek_E!I25),6.7,0)+IF(ISNUMBER(Cek_E!I31),6.7,0)+IF(ISNUMBER(Cek_E!I37),6.6,0)+IF(ISNUMBER(Cek_E!I45),6.7,0)+IF(ISNUMBER(Cek_E!I51),6.7,0)+IF(ISNUMBER(Cek_E!I57),6.6,0)+IF(ISNUMBER(Cek_E!I65),5,0)+IF(ISNUMBER(Cek_E!I71),5,0)+IF(ISNUMBER(Cek_E!I77),5,0)+IF(ISNUMBER(Cek_E!I83),5,0)+IF(ISNUMBER(Cek_E!I91),10,0)+IF(ISNUMBER(Cek_E!I97),10,0)+IF(ISNUMBER(Cek_E!I105),20,0)+IF(ISNUMBER(Cek_E!I111),20,0)+IF(ISNUMBER(Cek_E!I117),20,0)+IF(ISNUMBER(Cek_E!I123),20,0)+IF(ISNUMBER(Cek_E!I129),20,0))=0,"",(IF(ISNUMBER(Cek_E!I5),Cek_E!I5*6.7,0)+IF(ISNUMBER(Cek_E!I11),Cek_E!I11*6.7,0)+IF(ISNUMBER(Cek_E!I17),Cek_E!I17*6.6,0)+IF(ISNUMBER(Cek_E!I25),Cek_E!I25*6.7,0)+IF(ISNUMBER(Cek_E!I31),Cek_E!I31*6.7,0)+IF(ISNUMBER(Cek_E!I37),Cek_E!I37*6.6,0)+IF(ISNUMBER(Cek_E!I45),Cek_E!I45*6.7,0)+IF(ISNUMBER(Cek_E!I51),Cek_E!I51*6.7,0)+IF(ISNUMBER(Cek_E!I57),Cek_E!I57*6.6,0)+IF(ISNUMBER(Cek_E!I65),Cek_E!I65*5,0)+IF(ISNUMBER(Cek_E!I71),Cek_E!I71*5,0)+IF(ISNUMBER(Cek_E!I77),Cek_E!I77*5,0)+IF(ISNUMBER(Cek_E!I83),Cek_E!I83*5,0)+IF(ISNUMBER(Cek_E!I91),Cek_E!I91*10,0)+IF(ISNUMBER(Cek_E!I97),Cek_E!I97*10,0)+IF(ISNUMBER(Cek_E!I105),Cek_E!I105*20,0)+IF(ISNUMBER(Cek_E!I111),Cek_E!I111*20,0)+IF(ISNUMBER(Cek_E!I117),Cek_E!I117*20,0)+IF(ISNUMBER(Cek_E!I123),Cek_E!I123*20,0)+IF(ISNUMBER(Cek_E!I129),Cek_E!I129*20,0))/(IF(ISNUMBER(Cek_E!I5),6.7,0)+IF(ISNUMBER(Cek_E!I11),6.7,0)+IF(ISNUMBER(Cek_E!I17),6.6,0)+IF(ISNUMBER(Cek_E!I25),6.7,0)+IF(ISNUMBER(Cek_E!I31),6.7,0)+IF(ISNUMBER(Cek_E!I37),6.6,0)+IF(ISNUMBER(Cek_E!I45),6.7,0)+IF(ISNUMBER(Cek_E!I51),6.7,0)+IF(ISNUMBER(Cek_E!I57),6.6,0)+IF(ISNUMBER(Cek_E!I65),5,0)+IF(ISNUMBER(Cek_E!I71),5,0)+IF(ISNUMBER(Cek_E!I77),5,0)+IF(ISNUMBER(Cek_E!I83),5,0)+IF(ISNUMBER(Cek_E!I91),10,0)+IF(ISNUMBER(Cek_E!I97),10,0)+IF(ISNUMBER(Cek_E!I105),20,0)+IF(ISNUMBER(Cek_E!I111),20,0)+IF(ISNUMBER(Cek_E!I117),20,0)+IF(ISNUMBER(Cek_E!I123),20,0)+IF(ISNUMBER(Cek_E!I129),20,0)))</f>
        <v/>
      </c>
      <c r="J9" s="9" t="str">
        <f>IF((IF(ISNUMBER(Cek_E!J5),6.7,0)+IF(ISNUMBER(Cek_E!J11),6.7,0)+IF(ISNUMBER(Cek_E!J17),6.6,0)+IF(ISNUMBER(Cek_E!J25),6.7,0)+IF(ISNUMBER(Cek_E!J31),6.7,0)+IF(ISNUMBER(Cek_E!J37),6.6,0)+IF(ISNUMBER(Cek_E!J45),6.7,0)+IF(ISNUMBER(Cek_E!J51),6.7,0)+IF(ISNUMBER(Cek_E!J57),6.6,0)+IF(ISNUMBER(Cek_E!J65),5,0)+IF(ISNUMBER(Cek_E!J71),5,0)+IF(ISNUMBER(Cek_E!J77),5,0)+IF(ISNUMBER(Cek_E!J83),5,0)+IF(ISNUMBER(Cek_E!J91),10,0)+IF(ISNUMBER(Cek_E!J97),10,0)+IF(ISNUMBER(Cek_E!J105),20,0)+IF(ISNUMBER(Cek_E!J111),20,0)+IF(ISNUMBER(Cek_E!J117),20,0)+IF(ISNUMBER(Cek_E!J123),20,0)+IF(ISNUMBER(Cek_E!J129),20,0))=0,"",(IF(ISNUMBER(Cek_E!J5),Cek_E!J5*6.7,0)+IF(ISNUMBER(Cek_E!J11),Cek_E!J11*6.7,0)+IF(ISNUMBER(Cek_E!J17),Cek_E!J17*6.6,0)+IF(ISNUMBER(Cek_E!J25),Cek_E!J25*6.7,0)+IF(ISNUMBER(Cek_E!J31),Cek_E!J31*6.7,0)+IF(ISNUMBER(Cek_E!J37),Cek_E!J37*6.6,0)+IF(ISNUMBER(Cek_E!J45),Cek_E!J45*6.7,0)+IF(ISNUMBER(Cek_E!J51),Cek_E!J51*6.7,0)+IF(ISNUMBER(Cek_E!J57),Cek_E!J57*6.6,0)+IF(ISNUMBER(Cek_E!J65),Cek_E!J65*5,0)+IF(ISNUMBER(Cek_E!J71),Cek_E!J71*5,0)+IF(ISNUMBER(Cek_E!J77),Cek_E!J77*5,0)+IF(ISNUMBER(Cek_E!J83),Cek_E!J83*5,0)+IF(ISNUMBER(Cek_E!J91),Cek_E!J91*10,0)+IF(ISNUMBER(Cek_E!J97),Cek_E!J97*10,0)+IF(ISNUMBER(Cek_E!J105),Cek_E!J105*20,0)+IF(ISNUMBER(Cek_E!J111),Cek_E!J111*20,0)+IF(ISNUMBER(Cek_E!J117),Cek_E!J117*20,0)+IF(ISNUMBER(Cek_E!J123),Cek_E!J123*20,0)+IF(ISNUMBER(Cek_E!J129),Cek_E!J129*20,0))/(IF(ISNUMBER(Cek_E!J5),6.7,0)+IF(ISNUMBER(Cek_E!J11),6.7,0)+IF(ISNUMBER(Cek_E!J17),6.6,0)+IF(ISNUMBER(Cek_E!J25),6.7,0)+IF(ISNUMBER(Cek_E!J31),6.7,0)+IF(ISNUMBER(Cek_E!J37),6.6,0)+IF(ISNUMBER(Cek_E!J45),6.7,0)+IF(ISNUMBER(Cek_E!J51),6.7,0)+IF(ISNUMBER(Cek_E!J57),6.6,0)+IF(ISNUMBER(Cek_E!J65),5,0)+IF(ISNUMBER(Cek_E!J71),5,0)+IF(ISNUMBER(Cek_E!J77),5,0)+IF(ISNUMBER(Cek_E!J83),5,0)+IF(ISNUMBER(Cek_E!J91),10,0)+IF(ISNUMBER(Cek_E!J97),10,0)+IF(ISNUMBER(Cek_E!J105),20,0)+IF(ISNUMBER(Cek_E!J111),20,0)+IF(ISNUMBER(Cek_E!J117),20,0)+IF(ISNUMBER(Cek_E!J123),20,0)+IF(ISNUMBER(Cek_E!J129),20,0)))</f>
        <v/>
      </c>
      <c r="K9" s="9" t="str">
        <f>IF((IF(ISNUMBER(Cek_E!K5),6.7,0)+IF(ISNUMBER(Cek_E!K11),6.7,0)+IF(ISNUMBER(Cek_E!K17),6.6,0)+IF(ISNUMBER(Cek_E!K25),6.7,0)+IF(ISNUMBER(Cek_E!K31),6.7,0)+IF(ISNUMBER(Cek_E!K37),6.6,0)+IF(ISNUMBER(Cek_E!K45),6.7,0)+IF(ISNUMBER(Cek_E!K51),6.7,0)+IF(ISNUMBER(Cek_E!K57),6.6,0)+IF(ISNUMBER(Cek_E!K65),5,0)+IF(ISNUMBER(Cek_E!K71),5,0)+IF(ISNUMBER(Cek_E!K77),5,0)+IF(ISNUMBER(Cek_E!K83),5,0)+IF(ISNUMBER(Cek_E!K91),10,0)+IF(ISNUMBER(Cek_E!K97),10,0)+IF(ISNUMBER(Cek_E!K105),20,0)+IF(ISNUMBER(Cek_E!K111),20,0)+IF(ISNUMBER(Cek_E!K117),20,0)+IF(ISNUMBER(Cek_E!K123),20,0)+IF(ISNUMBER(Cek_E!K129),20,0))=0,"",(IF(ISNUMBER(Cek_E!K5),Cek_E!K5*6.7,0)+IF(ISNUMBER(Cek_E!K11),Cek_E!K11*6.7,0)+IF(ISNUMBER(Cek_E!K17),Cek_E!K17*6.6,0)+IF(ISNUMBER(Cek_E!K25),Cek_E!K25*6.7,0)+IF(ISNUMBER(Cek_E!K31),Cek_E!K31*6.7,0)+IF(ISNUMBER(Cek_E!K37),Cek_E!K37*6.6,0)+IF(ISNUMBER(Cek_E!K45),Cek_E!K45*6.7,0)+IF(ISNUMBER(Cek_E!K51),Cek_E!K51*6.7,0)+IF(ISNUMBER(Cek_E!K57),Cek_E!K57*6.6,0)+IF(ISNUMBER(Cek_E!K65),Cek_E!K65*5,0)+IF(ISNUMBER(Cek_E!K71),Cek_E!K71*5,0)+IF(ISNUMBER(Cek_E!K77),Cek_E!K77*5,0)+IF(ISNUMBER(Cek_E!K83),Cek_E!K83*5,0)+IF(ISNUMBER(Cek_E!K91),Cek_E!K91*10,0)+IF(ISNUMBER(Cek_E!K97),Cek_E!K97*10,0)+IF(ISNUMBER(Cek_E!K105),Cek_E!K105*20,0)+IF(ISNUMBER(Cek_E!K111),Cek_E!K111*20,0)+IF(ISNUMBER(Cek_E!K117),Cek_E!K117*20,0)+IF(ISNUMBER(Cek_E!K123),Cek_E!K123*20,0)+IF(ISNUMBER(Cek_E!K129),Cek_E!K129*20,0))/(IF(ISNUMBER(Cek_E!K5),6.7,0)+IF(ISNUMBER(Cek_E!K11),6.7,0)+IF(ISNUMBER(Cek_E!K17),6.6,0)+IF(ISNUMBER(Cek_E!K25),6.7,0)+IF(ISNUMBER(Cek_E!K31),6.7,0)+IF(ISNUMBER(Cek_E!K37),6.6,0)+IF(ISNUMBER(Cek_E!K45),6.7,0)+IF(ISNUMBER(Cek_E!K51),6.7,0)+IF(ISNUMBER(Cek_E!K57),6.6,0)+IF(ISNUMBER(Cek_E!K65),5,0)+IF(ISNUMBER(Cek_E!K71),5,0)+IF(ISNUMBER(Cek_E!K77),5,0)+IF(ISNUMBER(Cek_E!K83),5,0)+IF(ISNUMBER(Cek_E!K91),10,0)+IF(ISNUMBER(Cek_E!K97),10,0)+IF(ISNUMBER(Cek_E!K105),20,0)+IF(ISNUMBER(Cek_E!K111),20,0)+IF(ISNUMBER(Cek_E!K117),20,0)+IF(ISNUMBER(Cek_E!K123),20,0)+IF(ISNUMBER(Cek_E!K129),20,0)))</f>
        <v/>
      </c>
      <c r="L9" s="9" t="str">
        <f>IF((IF(ISNUMBER(Cek_E!L5),6.7,0)+IF(ISNUMBER(Cek_E!L11),6.7,0)+IF(ISNUMBER(Cek_E!L17),6.6,0)+IF(ISNUMBER(Cek_E!L25),6.7,0)+IF(ISNUMBER(Cek_E!L31),6.7,0)+IF(ISNUMBER(Cek_E!L37),6.6,0)+IF(ISNUMBER(Cek_E!L45),6.7,0)+IF(ISNUMBER(Cek_E!L51),6.7,0)+IF(ISNUMBER(Cek_E!L57),6.6,0)+IF(ISNUMBER(Cek_E!L65),5,0)+IF(ISNUMBER(Cek_E!L71),5,0)+IF(ISNUMBER(Cek_E!L77),5,0)+IF(ISNUMBER(Cek_E!L83),5,0)+IF(ISNUMBER(Cek_E!L91),10,0)+IF(ISNUMBER(Cek_E!L97),10,0)+IF(ISNUMBER(Cek_E!L105),20,0)+IF(ISNUMBER(Cek_E!L111),20,0)+IF(ISNUMBER(Cek_E!L117),20,0)+IF(ISNUMBER(Cek_E!L123),20,0)+IF(ISNUMBER(Cek_E!L129),20,0))=0,"",(IF(ISNUMBER(Cek_E!L5),Cek_E!L5*6.7,0)+IF(ISNUMBER(Cek_E!L11),Cek_E!L11*6.7,0)+IF(ISNUMBER(Cek_E!L17),Cek_E!L17*6.6,0)+IF(ISNUMBER(Cek_E!L25),Cek_E!L25*6.7,0)+IF(ISNUMBER(Cek_E!L31),Cek_E!L31*6.7,0)+IF(ISNUMBER(Cek_E!L37),Cek_E!L37*6.6,0)+IF(ISNUMBER(Cek_E!L45),Cek_E!L45*6.7,0)+IF(ISNUMBER(Cek_E!L51),Cek_E!L51*6.7,0)+IF(ISNUMBER(Cek_E!L57),Cek_E!L57*6.6,0)+IF(ISNUMBER(Cek_E!L65),Cek_E!L65*5,0)+IF(ISNUMBER(Cek_E!L71),Cek_E!L71*5,0)+IF(ISNUMBER(Cek_E!L77),Cek_E!L77*5,0)+IF(ISNUMBER(Cek_E!L83),Cek_E!L83*5,0)+IF(ISNUMBER(Cek_E!L91),Cek_E!L91*10,0)+IF(ISNUMBER(Cek_E!L97),Cek_E!L97*10,0)+IF(ISNUMBER(Cek_E!L105),Cek_E!L105*20,0)+IF(ISNUMBER(Cek_E!L111),Cek_E!L111*20,0)+IF(ISNUMBER(Cek_E!L117),Cek_E!L117*20,0)+IF(ISNUMBER(Cek_E!L123),Cek_E!L123*20,0)+IF(ISNUMBER(Cek_E!L129),Cek_E!L129*20,0))/(IF(ISNUMBER(Cek_E!L5),6.7,0)+IF(ISNUMBER(Cek_E!L11),6.7,0)+IF(ISNUMBER(Cek_E!L17),6.6,0)+IF(ISNUMBER(Cek_E!L25),6.7,0)+IF(ISNUMBER(Cek_E!L31),6.7,0)+IF(ISNUMBER(Cek_E!L37),6.6,0)+IF(ISNUMBER(Cek_E!L45),6.7,0)+IF(ISNUMBER(Cek_E!L51),6.7,0)+IF(ISNUMBER(Cek_E!L57),6.6,0)+IF(ISNUMBER(Cek_E!L65),5,0)+IF(ISNUMBER(Cek_E!L71),5,0)+IF(ISNUMBER(Cek_E!L77),5,0)+IF(ISNUMBER(Cek_E!L83),5,0)+IF(ISNUMBER(Cek_E!L91),10,0)+IF(ISNUMBER(Cek_E!L97),10,0)+IF(ISNUMBER(Cek_E!L105),20,0)+IF(ISNUMBER(Cek_E!L111),20,0)+IF(ISNUMBER(Cek_E!L117),20,0)+IF(ISNUMBER(Cek_E!L123),20,0)+IF(ISNUMBER(Cek_E!L129),20,0)))</f>
        <v/>
      </c>
      <c r="M9" s="9" t="str">
        <f>IF((IF(ISNUMBER(Cek_E!M5),6.7,0)+IF(ISNUMBER(Cek_E!M11),6.7,0)+IF(ISNUMBER(Cek_E!M17),6.6,0)+IF(ISNUMBER(Cek_E!M25),6.7,0)+IF(ISNUMBER(Cek_E!M31),6.7,0)+IF(ISNUMBER(Cek_E!M37),6.6,0)+IF(ISNUMBER(Cek_E!M45),6.7,0)+IF(ISNUMBER(Cek_E!M51),6.7,0)+IF(ISNUMBER(Cek_E!M57),6.6,0)+IF(ISNUMBER(Cek_E!M65),5,0)+IF(ISNUMBER(Cek_E!M71),5,0)+IF(ISNUMBER(Cek_E!M77),5,0)+IF(ISNUMBER(Cek_E!M83),5,0)+IF(ISNUMBER(Cek_E!M91),10,0)+IF(ISNUMBER(Cek_E!M97),10,0)+IF(ISNUMBER(Cek_E!M105),20,0)+IF(ISNUMBER(Cek_E!M111),20,0)+IF(ISNUMBER(Cek_E!M117),20,0)+IF(ISNUMBER(Cek_E!M123),20,0)+IF(ISNUMBER(Cek_E!M129),20,0))=0,"",(IF(ISNUMBER(Cek_E!M5),Cek_E!M5*6.7,0)+IF(ISNUMBER(Cek_E!M11),Cek_E!M11*6.7,0)+IF(ISNUMBER(Cek_E!M17),Cek_E!M17*6.6,0)+IF(ISNUMBER(Cek_E!M25),Cek_E!M25*6.7,0)+IF(ISNUMBER(Cek_E!M31),Cek_E!M31*6.7,0)+IF(ISNUMBER(Cek_E!M37),Cek_E!M37*6.6,0)+IF(ISNUMBER(Cek_E!M45),Cek_E!M45*6.7,0)+IF(ISNUMBER(Cek_E!M51),Cek_E!M51*6.7,0)+IF(ISNUMBER(Cek_E!M57),Cek_E!M57*6.6,0)+IF(ISNUMBER(Cek_E!M65),Cek_E!M65*5,0)+IF(ISNUMBER(Cek_E!M71),Cek_E!M71*5,0)+IF(ISNUMBER(Cek_E!M77),Cek_E!M77*5,0)+IF(ISNUMBER(Cek_E!M83),Cek_E!M83*5,0)+IF(ISNUMBER(Cek_E!M91),Cek_E!M91*10,0)+IF(ISNUMBER(Cek_E!M97),Cek_E!M97*10,0)+IF(ISNUMBER(Cek_E!M105),Cek_E!M105*20,0)+IF(ISNUMBER(Cek_E!M111),Cek_E!M111*20,0)+IF(ISNUMBER(Cek_E!M117),Cek_E!M117*20,0)+IF(ISNUMBER(Cek_E!M123),Cek_E!M123*20,0)+IF(ISNUMBER(Cek_E!M129),Cek_E!M129*20,0))/(IF(ISNUMBER(Cek_E!M5),6.7,0)+IF(ISNUMBER(Cek_E!M11),6.7,0)+IF(ISNUMBER(Cek_E!M17),6.6,0)+IF(ISNUMBER(Cek_E!M25),6.7,0)+IF(ISNUMBER(Cek_E!M31),6.7,0)+IF(ISNUMBER(Cek_E!M37),6.6,0)+IF(ISNUMBER(Cek_E!M45),6.7,0)+IF(ISNUMBER(Cek_E!M51),6.7,0)+IF(ISNUMBER(Cek_E!M57),6.6,0)+IF(ISNUMBER(Cek_E!M65),5,0)+IF(ISNUMBER(Cek_E!M71),5,0)+IF(ISNUMBER(Cek_E!M77),5,0)+IF(ISNUMBER(Cek_E!M83),5,0)+IF(ISNUMBER(Cek_E!M91),10,0)+IF(ISNUMBER(Cek_E!M97),10,0)+IF(ISNUMBER(Cek_E!M105),20,0)+IF(ISNUMBER(Cek_E!M111),20,0)+IF(ISNUMBER(Cek_E!M117),20,0)+IF(ISNUMBER(Cek_E!M123),20,0)+IF(ISNUMBER(Cek_E!M129),20,0)))</f>
        <v/>
      </c>
      <c r="N9" s="9" t="str">
        <f>IF((IF(ISNUMBER(Cek_E!N5),6.7,0)+IF(ISNUMBER(Cek_E!N11),6.7,0)+IF(ISNUMBER(Cek_E!N17),6.6,0)+IF(ISNUMBER(Cek_E!N25),6.7,0)+IF(ISNUMBER(Cek_E!N31),6.7,0)+IF(ISNUMBER(Cek_E!N37),6.6,0)+IF(ISNUMBER(Cek_E!N45),6.7,0)+IF(ISNUMBER(Cek_E!N51),6.7,0)+IF(ISNUMBER(Cek_E!N57),6.6,0)+IF(ISNUMBER(Cek_E!N65),5,0)+IF(ISNUMBER(Cek_E!N71),5,0)+IF(ISNUMBER(Cek_E!N77),5,0)+IF(ISNUMBER(Cek_E!N83),5,0)+IF(ISNUMBER(Cek_E!N91),10,0)+IF(ISNUMBER(Cek_E!N97),10,0)+IF(ISNUMBER(Cek_E!N105),20,0)+IF(ISNUMBER(Cek_E!N111),20,0)+IF(ISNUMBER(Cek_E!N117),20,0)+IF(ISNUMBER(Cek_E!N123),20,0)+IF(ISNUMBER(Cek_E!N129),20,0))=0,"",(IF(ISNUMBER(Cek_E!N5),Cek_E!N5*6.7,0)+IF(ISNUMBER(Cek_E!N11),Cek_E!N11*6.7,0)+IF(ISNUMBER(Cek_E!N17),Cek_E!N17*6.6,0)+IF(ISNUMBER(Cek_E!N25),Cek_E!N25*6.7,0)+IF(ISNUMBER(Cek_E!N31),Cek_E!N31*6.7,0)+IF(ISNUMBER(Cek_E!N37),Cek_E!N37*6.6,0)+IF(ISNUMBER(Cek_E!N45),Cek_E!N45*6.7,0)+IF(ISNUMBER(Cek_E!N51),Cek_E!N51*6.7,0)+IF(ISNUMBER(Cek_E!N57),Cek_E!N57*6.6,0)+IF(ISNUMBER(Cek_E!N65),Cek_E!N65*5,0)+IF(ISNUMBER(Cek_E!N71),Cek_E!N71*5,0)+IF(ISNUMBER(Cek_E!N77),Cek_E!N77*5,0)+IF(ISNUMBER(Cek_E!N83),Cek_E!N83*5,0)+IF(ISNUMBER(Cek_E!N91),Cek_E!N91*10,0)+IF(ISNUMBER(Cek_E!N97),Cek_E!N97*10,0)+IF(ISNUMBER(Cek_E!N105),Cek_E!N105*20,0)+IF(ISNUMBER(Cek_E!N111),Cek_E!N111*20,0)+IF(ISNUMBER(Cek_E!N117),Cek_E!N117*20,0)+IF(ISNUMBER(Cek_E!N123),Cek_E!N123*20,0)+IF(ISNUMBER(Cek_E!N129),Cek_E!N129*20,0))/(IF(ISNUMBER(Cek_E!N5),6.7,0)+IF(ISNUMBER(Cek_E!N11),6.7,0)+IF(ISNUMBER(Cek_E!N17),6.6,0)+IF(ISNUMBER(Cek_E!N25),6.7,0)+IF(ISNUMBER(Cek_E!N31),6.7,0)+IF(ISNUMBER(Cek_E!N37),6.6,0)+IF(ISNUMBER(Cek_E!N45),6.7,0)+IF(ISNUMBER(Cek_E!N51),6.7,0)+IF(ISNUMBER(Cek_E!N57),6.6,0)+IF(ISNUMBER(Cek_E!N65),5,0)+IF(ISNUMBER(Cek_E!N71),5,0)+IF(ISNUMBER(Cek_E!N77),5,0)+IF(ISNUMBER(Cek_E!N83),5,0)+IF(ISNUMBER(Cek_E!N91),10,0)+IF(ISNUMBER(Cek_E!N97),10,0)+IF(ISNUMBER(Cek_E!N105),20,0)+IF(ISNUMBER(Cek_E!N111),20,0)+IF(ISNUMBER(Cek_E!N117),20,0)+IF(ISNUMBER(Cek_E!N123),20,0)+IF(ISNUMBER(Cek_E!N129),20,0)))</f>
        <v/>
      </c>
      <c r="O9" s="9" t="str">
        <f>IF((IF(ISNUMBER(Cek_E!O5),6.7,0)+IF(ISNUMBER(Cek_E!O11),6.7,0)+IF(ISNUMBER(Cek_E!O17),6.6,0)+IF(ISNUMBER(Cek_E!O25),6.7,0)+IF(ISNUMBER(Cek_E!O31),6.7,0)+IF(ISNUMBER(Cek_E!O37),6.6,0)+IF(ISNUMBER(Cek_E!O45),6.7,0)+IF(ISNUMBER(Cek_E!O51),6.7,0)+IF(ISNUMBER(Cek_E!O57),6.6,0)+IF(ISNUMBER(Cek_E!O65),5,0)+IF(ISNUMBER(Cek_E!O71),5,0)+IF(ISNUMBER(Cek_E!O77),5,0)+IF(ISNUMBER(Cek_E!O83),5,0)+IF(ISNUMBER(Cek_E!O91),10,0)+IF(ISNUMBER(Cek_E!O97),10,0)+IF(ISNUMBER(Cek_E!O105),20,0)+IF(ISNUMBER(Cek_E!O111),20,0)+IF(ISNUMBER(Cek_E!O117),20,0)+IF(ISNUMBER(Cek_E!O123),20,0)+IF(ISNUMBER(Cek_E!O129),20,0))=0,"",(IF(ISNUMBER(Cek_E!O5),Cek_E!O5*6.7,0)+IF(ISNUMBER(Cek_E!O11),Cek_E!O11*6.7,0)+IF(ISNUMBER(Cek_E!O17),Cek_E!O17*6.6,0)+IF(ISNUMBER(Cek_E!O25),Cek_E!O25*6.7,0)+IF(ISNUMBER(Cek_E!O31),Cek_E!O31*6.7,0)+IF(ISNUMBER(Cek_E!O37),Cek_E!O37*6.6,0)+IF(ISNUMBER(Cek_E!O45),Cek_E!O45*6.7,0)+IF(ISNUMBER(Cek_E!O51),Cek_E!O51*6.7,0)+IF(ISNUMBER(Cek_E!O57),Cek_E!O57*6.6,0)+IF(ISNUMBER(Cek_E!O65),Cek_E!O65*5,0)+IF(ISNUMBER(Cek_E!O71),Cek_E!O71*5,0)+IF(ISNUMBER(Cek_E!O77),Cek_E!O77*5,0)+IF(ISNUMBER(Cek_E!O83),Cek_E!O83*5,0)+IF(ISNUMBER(Cek_E!O91),Cek_E!O91*10,0)+IF(ISNUMBER(Cek_E!O97),Cek_E!O97*10,0)+IF(ISNUMBER(Cek_E!O105),Cek_E!O105*20,0)+IF(ISNUMBER(Cek_E!O111),Cek_E!O111*20,0)+IF(ISNUMBER(Cek_E!O117),Cek_E!O117*20,0)+IF(ISNUMBER(Cek_E!O123),Cek_E!O123*20,0)+IF(ISNUMBER(Cek_E!O129),Cek_E!O129*20,0))/(IF(ISNUMBER(Cek_E!O5),6.7,0)+IF(ISNUMBER(Cek_E!O11),6.7,0)+IF(ISNUMBER(Cek_E!O17),6.6,0)+IF(ISNUMBER(Cek_E!O25),6.7,0)+IF(ISNUMBER(Cek_E!O31),6.7,0)+IF(ISNUMBER(Cek_E!O37),6.6,0)+IF(ISNUMBER(Cek_E!O45),6.7,0)+IF(ISNUMBER(Cek_E!O51),6.7,0)+IF(ISNUMBER(Cek_E!O57),6.6,0)+IF(ISNUMBER(Cek_E!O65),5,0)+IF(ISNUMBER(Cek_E!O71),5,0)+IF(ISNUMBER(Cek_E!O77),5,0)+IF(ISNUMBER(Cek_E!O83),5,0)+IF(ISNUMBER(Cek_E!O91),10,0)+IF(ISNUMBER(Cek_E!O97),10,0)+IF(ISNUMBER(Cek_E!O105),20,0)+IF(ISNUMBER(Cek_E!O111),20,0)+IF(ISNUMBER(Cek_E!O117),20,0)+IF(ISNUMBER(Cek_E!O123),20,0)+IF(ISNUMBER(Cek_E!O129),20,0)))</f>
        <v/>
      </c>
      <c r="P9" s="9" t="str">
        <f>IF((IF(ISNUMBER(Cek_E!P5),6.7,0)+IF(ISNUMBER(Cek_E!P11),6.7,0)+IF(ISNUMBER(Cek_E!P17),6.6,0)+IF(ISNUMBER(Cek_E!P25),6.7,0)+IF(ISNUMBER(Cek_E!P31),6.7,0)+IF(ISNUMBER(Cek_E!P37),6.6,0)+IF(ISNUMBER(Cek_E!P45),6.7,0)+IF(ISNUMBER(Cek_E!P51),6.7,0)+IF(ISNUMBER(Cek_E!P57),6.6,0)+IF(ISNUMBER(Cek_E!P65),5,0)+IF(ISNUMBER(Cek_E!P71),5,0)+IF(ISNUMBER(Cek_E!P77),5,0)+IF(ISNUMBER(Cek_E!P83),5,0)+IF(ISNUMBER(Cek_E!P91),10,0)+IF(ISNUMBER(Cek_E!P97),10,0)+IF(ISNUMBER(Cek_E!P105),20,0)+IF(ISNUMBER(Cek_E!P111),20,0)+IF(ISNUMBER(Cek_E!P117),20,0)+IF(ISNUMBER(Cek_E!P123),20,0)+IF(ISNUMBER(Cek_E!P129),20,0))=0,"",(IF(ISNUMBER(Cek_E!P5),Cek_E!P5*6.7,0)+IF(ISNUMBER(Cek_E!P11),Cek_E!P11*6.7,0)+IF(ISNUMBER(Cek_E!P17),Cek_E!P17*6.6,0)+IF(ISNUMBER(Cek_E!P25),Cek_E!P25*6.7,0)+IF(ISNUMBER(Cek_E!P31),Cek_E!P31*6.7,0)+IF(ISNUMBER(Cek_E!P37),Cek_E!P37*6.6,0)+IF(ISNUMBER(Cek_E!P45),Cek_E!P45*6.7,0)+IF(ISNUMBER(Cek_E!P51),Cek_E!P51*6.7,0)+IF(ISNUMBER(Cek_E!P57),Cek_E!P57*6.6,0)+IF(ISNUMBER(Cek_E!P65),Cek_E!P65*5,0)+IF(ISNUMBER(Cek_E!P71),Cek_E!P71*5,0)+IF(ISNUMBER(Cek_E!P77),Cek_E!P77*5,0)+IF(ISNUMBER(Cek_E!P83),Cek_E!P83*5,0)+IF(ISNUMBER(Cek_E!P91),Cek_E!P91*10,0)+IF(ISNUMBER(Cek_E!P97),Cek_E!P97*10,0)+IF(ISNUMBER(Cek_E!P105),Cek_E!P105*20,0)+IF(ISNUMBER(Cek_E!P111),Cek_E!P111*20,0)+IF(ISNUMBER(Cek_E!P117),Cek_E!P117*20,0)+IF(ISNUMBER(Cek_E!P123),Cek_E!P123*20,0)+IF(ISNUMBER(Cek_E!P129),Cek_E!P129*20,0))/(IF(ISNUMBER(Cek_E!P5),6.7,0)+IF(ISNUMBER(Cek_E!P11),6.7,0)+IF(ISNUMBER(Cek_E!P17),6.6,0)+IF(ISNUMBER(Cek_E!P25),6.7,0)+IF(ISNUMBER(Cek_E!P31),6.7,0)+IF(ISNUMBER(Cek_E!P37),6.6,0)+IF(ISNUMBER(Cek_E!P45),6.7,0)+IF(ISNUMBER(Cek_E!P51),6.7,0)+IF(ISNUMBER(Cek_E!P57),6.6,0)+IF(ISNUMBER(Cek_E!P65),5,0)+IF(ISNUMBER(Cek_E!P71),5,0)+IF(ISNUMBER(Cek_E!P77),5,0)+IF(ISNUMBER(Cek_E!P83),5,0)+IF(ISNUMBER(Cek_E!P91),10,0)+IF(ISNUMBER(Cek_E!P97),10,0)+IF(ISNUMBER(Cek_E!P105),20,0)+IF(ISNUMBER(Cek_E!P111),20,0)+IF(ISNUMBER(Cek_E!P117),20,0)+IF(ISNUMBER(Cek_E!P123),20,0)+IF(ISNUMBER(Cek_E!P129),20,0)))</f>
        <v/>
      </c>
      <c r="Q9" s="9" t="str">
        <f>IF((IF(ISNUMBER(Cek_E!Q5),6.7,0)+IF(ISNUMBER(Cek_E!Q11),6.7,0)+IF(ISNUMBER(Cek_E!Q17),6.6,0)+IF(ISNUMBER(Cek_E!Q25),6.7,0)+IF(ISNUMBER(Cek_E!Q31),6.7,0)+IF(ISNUMBER(Cek_E!Q37),6.6,0)+IF(ISNUMBER(Cek_E!Q45),6.7,0)+IF(ISNUMBER(Cek_E!Q51),6.7,0)+IF(ISNUMBER(Cek_E!Q57),6.6,0)+IF(ISNUMBER(Cek_E!Q65),5,0)+IF(ISNUMBER(Cek_E!Q71),5,0)+IF(ISNUMBER(Cek_E!Q77),5,0)+IF(ISNUMBER(Cek_E!Q83),5,0)+IF(ISNUMBER(Cek_E!Q91),10,0)+IF(ISNUMBER(Cek_E!Q97),10,0)+IF(ISNUMBER(Cek_E!Q105),20,0)+IF(ISNUMBER(Cek_E!Q111),20,0)+IF(ISNUMBER(Cek_E!Q117),20,0)+IF(ISNUMBER(Cek_E!Q123),20,0)+IF(ISNUMBER(Cek_E!Q129),20,0))=0,"",(IF(ISNUMBER(Cek_E!Q5),Cek_E!Q5*6.7,0)+IF(ISNUMBER(Cek_E!Q11),Cek_E!Q11*6.7,0)+IF(ISNUMBER(Cek_E!Q17),Cek_E!Q17*6.6,0)+IF(ISNUMBER(Cek_E!Q25),Cek_E!Q25*6.7,0)+IF(ISNUMBER(Cek_E!Q31),Cek_E!Q31*6.7,0)+IF(ISNUMBER(Cek_E!Q37),Cek_E!Q37*6.6,0)+IF(ISNUMBER(Cek_E!Q45),Cek_E!Q45*6.7,0)+IF(ISNUMBER(Cek_E!Q51),Cek_E!Q51*6.7,0)+IF(ISNUMBER(Cek_E!Q57),Cek_E!Q57*6.6,0)+IF(ISNUMBER(Cek_E!Q65),Cek_E!Q65*5,0)+IF(ISNUMBER(Cek_E!Q71),Cek_E!Q71*5,0)+IF(ISNUMBER(Cek_E!Q77),Cek_E!Q77*5,0)+IF(ISNUMBER(Cek_E!Q83),Cek_E!Q83*5,0)+IF(ISNUMBER(Cek_E!Q91),Cek_E!Q91*10,0)+IF(ISNUMBER(Cek_E!Q97),Cek_E!Q97*10,0)+IF(ISNUMBER(Cek_E!Q105),Cek_E!Q105*20,0)+IF(ISNUMBER(Cek_E!Q111),Cek_E!Q111*20,0)+IF(ISNUMBER(Cek_E!Q117),Cek_E!Q117*20,0)+IF(ISNUMBER(Cek_E!Q123),Cek_E!Q123*20,0)+IF(ISNUMBER(Cek_E!Q129),Cek_E!Q129*20,0))/(IF(ISNUMBER(Cek_E!Q5),6.7,0)+IF(ISNUMBER(Cek_E!Q11),6.7,0)+IF(ISNUMBER(Cek_E!Q17),6.6,0)+IF(ISNUMBER(Cek_E!Q25),6.7,0)+IF(ISNUMBER(Cek_E!Q31),6.7,0)+IF(ISNUMBER(Cek_E!Q37),6.6,0)+IF(ISNUMBER(Cek_E!Q45),6.7,0)+IF(ISNUMBER(Cek_E!Q51),6.7,0)+IF(ISNUMBER(Cek_E!Q57),6.6,0)+IF(ISNUMBER(Cek_E!Q65),5,0)+IF(ISNUMBER(Cek_E!Q71),5,0)+IF(ISNUMBER(Cek_E!Q77),5,0)+IF(ISNUMBER(Cek_E!Q83),5,0)+IF(ISNUMBER(Cek_E!Q91),10,0)+IF(ISNUMBER(Cek_E!Q97),10,0)+IF(ISNUMBER(Cek_E!Q105),20,0)+IF(ISNUMBER(Cek_E!Q111),20,0)+IF(ISNUMBER(Cek_E!Q117),20,0)+IF(ISNUMBER(Cek_E!Q123),20,0)+IF(ISNUMBER(Cek_E!Q129),20,0)))</f>
        <v/>
      </c>
      <c r="R9" s="9" t="str">
        <f>IF((IF(ISNUMBER(Cek_E!R5),6.7,0)+IF(ISNUMBER(Cek_E!R11),6.7,0)+IF(ISNUMBER(Cek_E!R17),6.6,0)+IF(ISNUMBER(Cek_E!R25),6.7,0)+IF(ISNUMBER(Cek_E!R31),6.7,0)+IF(ISNUMBER(Cek_E!R37),6.6,0)+IF(ISNUMBER(Cek_E!R45),6.7,0)+IF(ISNUMBER(Cek_E!R51),6.7,0)+IF(ISNUMBER(Cek_E!R57),6.6,0)+IF(ISNUMBER(Cek_E!R65),5,0)+IF(ISNUMBER(Cek_E!R71),5,0)+IF(ISNUMBER(Cek_E!R77),5,0)+IF(ISNUMBER(Cek_E!R83),5,0)+IF(ISNUMBER(Cek_E!R91),10,0)+IF(ISNUMBER(Cek_E!R97),10,0)+IF(ISNUMBER(Cek_E!R105),20,0)+IF(ISNUMBER(Cek_E!R111),20,0)+IF(ISNUMBER(Cek_E!R117),20,0)+IF(ISNUMBER(Cek_E!R123),20,0)+IF(ISNUMBER(Cek_E!R129),20,0))=0,"",(IF(ISNUMBER(Cek_E!R5),Cek_E!R5*6.7,0)+IF(ISNUMBER(Cek_E!R11),Cek_E!R11*6.7,0)+IF(ISNUMBER(Cek_E!R17),Cek_E!R17*6.6,0)+IF(ISNUMBER(Cek_E!R25),Cek_E!R25*6.7,0)+IF(ISNUMBER(Cek_E!R31),Cek_E!R31*6.7,0)+IF(ISNUMBER(Cek_E!R37),Cek_E!R37*6.6,0)+IF(ISNUMBER(Cek_E!R45),Cek_E!R45*6.7,0)+IF(ISNUMBER(Cek_E!R51),Cek_E!R51*6.7,0)+IF(ISNUMBER(Cek_E!R57),Cek_E!R57*6.6,0)+IF(ISNUMBER(Cek_E!R65),Cek_E!R65*5,0)+IF(ISNUMBER(Cek_E!R71),Cek_E!R71*5,0)+IF(ISNUMBER(Cek_E!R77),Cek_E!R77*5,0)+IF(ISNUMBER(Cek_E!R83),Cek_E!R83*5,0)+IF(ISNUMBER(Cek_E!R91),Cek_E!R91*10,0)+IF(ISNUMBER(Cek_E!R97),Cek_E!R97*10,0)+IF(ISNUMBER(Cek_E!R105),Cek_E!R105*20,0)+IF(ISNUMBER(Cek_E!R111),Cek_E!R111*20,0)+IF(ISNUMBER(Cek_E!R117),Cek_E!R117*20,0)+IF(ISNUMBER(Cek_E!R123),Cek_E!R123*20,0)+IF(ISNUMBER(Cek_E!R129),Cek_E!R129*20,0))/(IF(ISNUMBER(Cek_E!R5),6.7,0)+IF(ISNUMBER(Cek_E!R11),6.7,0)+IF(ISNUMBER(Cek_E!R17),6.6,0)+IF(ISNUMBER(Cek_E!R25),6.7,0)+IF(ISNUMBER(Cek_E!R31),6.7,0)+IF(ISNUMBER(Cek_E!R37),6.6,0)+IF(ISNUMBER(Cek_E!R45),6.7,0)+IF(ISNUMBER(Cek_E!R51),6.7,0)+IF(ISNUMBER(Cek_E!R57),6.6,0)+IF(ISNUMBER(Cek_E!R65),5,0)+IF(ISNUMBER(Cek_E!R71),5,0)+IF(ISNUMBER(Cek_E!R77),5,0)+IF(ISNUMBER(Cek_E!R83),5,0)+IF(ISNUMBER(Cek_E!R91),10,0)+IF(ISNUMBER(Cek_E!R97),10,0)+IF(ISNUMBER(Cek_E!R105),20,0)+IF(ISNUMBER(Cek_E!R111),20,0)+IF(ISNUMBER(Cek_E!R117),20,0)+IF(ISNUMBER(Cek_E!R123),20,0)+IF(ISNUMBER(Cek_E!R129),20,0)))</f>
        <v/>
      </c>
      <c r="S9" s="9" t="str">
        <f>IF((IF(ISNUMBER(Cek_E!S5),6.7,0)+IF(ISNUMBER(Cek_E!S11),6.7,0)+IF(ISNUMBER(Cek_E!S17),6.6,0)+IF(ISNUMBER(Cek_E!S25),6.7,0)+IF(ISNUMBER(Cek_E!S31),6.7,0)+IF(ISNUMBER(Cek_E!S37),6.6,0)+IF(ISNUMBER(Cek_E!S45),6.7,0)+IF(ISNUMBER(Cek_E!S51),6.7,0)+IF(ISNUMBER(Cek_E!S57),6.6,0)+IF(ISNUMBER(Cek_E!S65),5,0)+IF(ISNUMBER(Cek_E!S71),5,0)+IF(ISNUMBER(Cek_E!S77),5,0)+IF(ISNUMBER(Cek_E!S83),5,0)+IF(ISNUMBER(Cek_E!S91),10,0)+IF(ISNUMBER(Cek_E!S97),10,0)+IF(ISNUMBER(Cek_E!S105),20,0)+IF(ISNUMBER(Cek_E!S111),20,0)+IF(ISNUMBER(Cek_E!S117),20,0)+IF(ISNUMBER(Cek_E!S123),20,0)+IF(ISNUMBER(Cek_E!S129),20,0))=0,"",(IF(ISNUMBER(Cek_E!S5),Cek_E!S5*6.7,0)+IF(ISNUMBER(Cek_E!S11),Cek_E!S11*6.7,0)+IF(ISNUMBER(Cek_E!S17),Cek_E!S17*6.6,0)+IF(ISNUMBER(Cek_E!S25),Cek_E!S25*6.7,0)+IF(ISNUMBER(Cek_E!S31),Cek_E!S31*6.7,0)+IF(ISNUMBER(Cek_E!S37),Cek_E!S37*6.6,0)+IF(ISNUMBER(Cek_E!S45),Cek_E!S45*6.7,0)+IF(ISNUMBER(Cek_E!S51),Cek_E!S51*6.7,0)+IF(ISNUMBER(Cek_E!S57),Cek_E!S57*6.6,0)+IF(ISNUMBER(Cek_E!S65),Cek_E!S65*5,0)+IF(ISNUMBER(Cek_E!S71),Cek_E!S71*5,0)+IF(ISNUMBER(Cek_E!S77),Cek_E!S77*5,0)+IF(ISNUMBER(Cek_E!S83),Cek_E!S83*5,0)+IF(ISNUMBER(Cek_E!S91),Cek_E!S91*10,0)+IF(ISNUMBER(Cek_E!S97),Cek_E!S97*10,0)+IF(ISNUMBER(Cek_E!S105),Cek_E!S105*20,0)+IF(ISNUMBER(Cek_E!S111),Cek_E!S111*20,0)+IF(ISNUMBER(Cek_E!S117),Cek_E!S117*20,0)+IF(ISNUMBER(Cek_E!S123),Cek_E!S123*20,0)+IF(ISNUMBER(Cek_E!S129),Cek_E!S129*20,0))/(IF(ISNUMBER(Cek_E!S5),6.7,0)+IF(ISNUMBER(Cek_E!S11),6.7,0)+IF(ISNUMBER(Cek_E!S17),6.6,0)+IF(ISNUMBER(Cek_E!S25),6.7,0)+IF(ISNUMBER(Cek_E!S31),6.7,0)+IF(ISNUMBER(Cek_E!S37),6.6,0)+IF(ISNUMBER(Cek_E!S45),6.7,0)+IF(ISNUMBER(Cek_E!S51),6.7,0)+IF(ISNUMBER(Cek_E!S57),6.6,0)+IF(ISNUMBER(Cek_E!S65),5,0)+IF(ISNUMBER(Cek_E!S71),5,0)+IF(ISNUMBER(Cek_E!S77),5,0)+IF(ISNUMBER(Cek_E!S83),5,0)+IF(ISNUMBER(Cek_E!S91),10,0)+IF(ISNUMBER(Cek_E!S97),10,0)+IF(ISNUMBER(Cek_E!S105),20,0)+IF(ISNUMBER(Cek_E!S111),20,0)+IF(ISNUMBER(Cek_E!S117),20,0)+IF(ISNUMBER(Cek_E!S123),20,0)+IF(ISNUMBER(Cek_E!S129),20,0)))</f>
        <v/>
      </c>
      <c r="T9" s="9" t="str">
        <f>IF((IF(ISNUMBER(Cek_E!T5),6.7,0)+IF(ISNUMBER(Cek_E!T11),6.7,0)+IF(ISNUMBER(Cek_E!T17),6.6,0)+IF(ISNUMBER(Cek_E!T25),6.7,0)+IF(ISNUMBER(Cek_E!T31),6.7,0)+IF(ISNUMBER(Cek_E!T37),6.6,0)+IF(ISNUMBER(Cek_E!T45),6.7,0)+IF(ISNUMBER(Cek_E!T51),6.7,0)+IF(ISNUMBER(Cek_E!T57),6.6,0)+IF(ISNUMBER(Cek_E!T65),5,0)+IF(ISNUMBER(Cek_E!T71),5,0)+IF(ISNUMBER(Cek_E!T77),5,0)+IF(ISNUMBER(Cek_E!T83),5,0)+IF(ISNUMBER(Cek_E!T91),10,0)+IF(ISNUMBER(Cek_E!T97),10,0)+IF(ISNUMBER(Cek_E!T105),20,0)+IF(ISNUMBER(Cek_E!T111),20,0)+IF(ISNUMBER(Cek_E!T117),20,0)+IF(ISNUMBER(Cek_E!T123),20,0)+IF(ISNUMBER(Cek_E!T129),20,0))=0,"",(IF(ISNUMBER(Cek_E!T5),Cek_E!T5*6.7,0)+IF(ISNUMBER(Cek_E!T11),Cek_E!T11*6.7,0)+IF(ISNUMBER(Cek_E!T17),Cek_E!T17*6.6,0)+IF(ISNUMBER(Cek_E!T25),Cek_E!T25*6.7,0)+IF(ISNUMBER(Cek_E!T31),Cek_E!T31*6.7,0)+IF(ISNUMBER(Cek_E!T37),Cek_E!T37*6.6,0)+IF(ISNUMBER(Cek_E!T45),Cek_E!T45*6.7,0)+IF(ISNUMBER(Cek_E!T51),Cek_E!T51*6.7,0)+IF(ISNUMBER(Cek_E!T57),Cek_E!T57*6.6,0)+IF(ISNUMBER(Cek_E!T65),Cek_E!T65*5,0)+IF(ISNUMBER(Cek_E!T71),Cek_E!T71*5,0)+IF(ISNUMBER(Cek_E!T77),Cek_E!T77*5,0)+IF(ISNUMBER(Cek_E!T83),Cek_E!T83*5,0)+IF(ISNUMBER(Cek_E!T91),Cek_E!T91*10,0)+IF(ISNUMBER(Cek_E!T97),Cek_E!T97*10,0)+IF(ISNUMBER(Cek_E!T105),Cek_E!T105*20,0)+IF(ISNUMBER(Cek_E!T111),Cek_E!T111*20,0)+IF(ISNUMBER(Cek_E!T117),Cek_E!T117*20,0)+IF(ISNUMBER(Cek_E!T123),Cek_E!T123*20,0)+IF(ISNUMBER(Cek_E!T129),Cek_E!T129*20,0))/(IF(ISNUMBER(Cek_E!T5),6.7,0)+IF(ISNUMBER(Cek_E!T11),6.7,0)+IF(ISNUMBER(Cek_E!T17),6.6,0)+IF(ISNUMBER(Cek_E!T25),6.7,0)+IF(ISNUMBER(Cek_E!T31),6.7,0)+IF(ISNUMBER(Cek_E!T37),6.6,0)+IF(ISNUMBER(Cek_E!T45),6.7,0)+IF(ISNUMBER(Cek_E!T51),6.7,0)+IF(ISNUMBER(Cek_E!T57),6.6,0)+IF(ISNUMBER(Cek_E!T65),5,0)+IF(ISNUMBER(Cek_E!T71),5,0)+IF(ISNUMBER(Cek_E!T77),5,0)+IF(ISNUMBER(Cek_E!T83),5,0)+IF(ISNUMBER(Cek_E!T91),10,0)+IF(ISNUMBER(Cek_E!T97),10,0)+IF(ISNUMBER(Cek_E!T105),20,0)+IF(ISNUMBER(Cek_E!T111),20,0)+IF(ISNUMBER(Cek_E!T117),20,0)+IF(ISNUMBER(Cek_E!T123),20,0)+IF(ISNUMBER(Cek_E!T129),20,0)))</f>
        <v/>
      </c>
      <c r="U9" s="9" t="str">
        <f>IF((IF(ISNUMBER(Cek_E!U5),6.7,0)+IF(ISNUMBER(Cek_E!U11),6.7,0)+IF(ISNUMBER(Cek_E!U17),6.6,0)+IF(ISNUMBER(Cek_E!U25),6.7,0)+IF(ISNUMBER(Cek_E!U31),6.7,0)+IF(ISNUMBER(Cek_E!U37),6.6,0)+IF(ISNUMBER(Cek_E!U45),6.7,0)+IF(ISNUMBER(Cek_E!U51),6.7,0)+IF(ISNUMBER(Cek_E!U57),6.6,0)+IF(ISNUMBER(Cek_E!U65),5,0)+IF(ISNUMBER(Cek_E!U71),5,0)+IF(ISNUMBER(Cek_E!U77),5,0)+IF(ISNUMBER(Cek_E!U83),5,0)+IF(ISNUMBER(Cek_E!U91),10,0)+IF(ISNUMBER(Cek_E!U97),10,0)+IF(ISNUMBER(Cek_E!U105),20,0)+IF(ISNUMBER(Cek_E!U111),20,0)+IF(ISNUMBER(Cek_E!U117),20,0)+IF(ISNUMBER(Cek_E!U123),20,0)+IF(ISNUMBER(Cek_E!U129),20,0))=0,"",(IF(ISNUMBER(Cek_E!U5),Cek_E!U5*6.7,0)+IF(ISNUMBER(Cek_E!U11),Cek_E!U11*6.7,0)+IF(ISNUMBER(Cek_E!U17),Cek_E!U17*6.6,0)+IF(ISNUMBER(Cek_E!U25),Cek_E!U25*6.7,0)+IF(ISNUMBER(Cek_E!U31),Cek_E!U31*6.7,0)+IF(ISNUMBER(Cek_E!U37),Cek_E!U37*6.6,0)+IF(ISNUMBER(Cek_E!U45),Cek_E!U45*6.7,0)+IF(ISNUMBER(Cek_E!U51),Cek_E!U51*6.7,0)+IF(ISNUMBER(Cek_E!U57),Cek_E!U57*6.6,0)+IF(ISNUMBER(Cek_E!U65),Cek_E!U65*5,0)+IF(ISNUMBER(Cek_E!U71),Cek_E!U71*5,0)+IF(ISNUMBER(Cek_E!U77),Cek_E!U77*5,0)+IF(ISNUMBER(Cek_E!U83),Cek_E!U83*5,0)+IF(ISNUMBER(Cek_E!U91),Cek_E!U91*10,0)+IF(ISNUMBER(Cek_E!U97),Cek_E!U97*10,0)+IF(ISNUMBER(Cek_E!U105),Cek_E!U105*20,0)+IF(ISNUMBER(Cek_E!U111),Cek_E!U111*20,0)+IF(ISNUMBER(Cek_E!U117),Cek_E!U117*20,0)+IF(ISNUMBER(Cek_E!U123),Cek_E!U123*20,0)+IF(ISNUMBER(Cek_E!U129),Cek_E!U129*20,0))/(IF(ISNUMBER(Cek_E!U5),6.7,0)+IF(ISNUMBER(Cek_E!U11),6.7,0)+IF(ISNUMBER(Cek_E!U17),6.6,0)+IF(ISNUMBER(Cek_E!U25),6.7,0)+IF(ISNUMBER(Cek_E!U31),6.7,0)+IF(ISNUMBER(Cek_E!U37),6.6,0)+IF(ISNUMBER(Cek_E!U45),6.7,0)+IF(ISNUMBER(Cek_E!U51),6.7,0)+IF(ISNUMBER(Cek_E!U57),6.6,0)+IF(ISNUMBER(Cek_E!U65),5,0)+IF(ISNUMBER(Cek_E!U71),5,0)+IF(ISNUMBER(Cek_E!U77),5,0)+IF(ISNUMBER(Cek_E!U83),5,0)+IF(ISNUMBER(Cek_E!U91),10,0)+IF(ISNUMBER(Cek_E!U97),10,0)+IF(ISNUMBER(Cek_E!U105),20,0)+IF(ISNUMBER(Cek_E!U111),20,0)+IF(ISNUMBER(Cek_E!U117),20,0)+IF(ISNUMBER(Cek_E!U123),20,0)+IF(ISNUMBER(Cek_E!U129),20,0)))</f>
        <v/>
      </c>
      <c r="V9" s="9" t="str">
        <f>IF((IF(ISNUMBER(Cek_E!V5),6.7,0)+IF(ISNUMBER(Cek_E!V11),6.7,0)+IF(ISNUMBER(Cek_E!V17),6.6,0)+IF(ISNUMBER(Cek_E!V25),6.7,0)+IF(ISNUMBER(Cek_E!V31),6.7,0)+IF(ISNUMBER(Cek_E!V37),6.6,0)+IF(ISNUMBER(Cek_E!V45),6.7,0)+IF(ISNUMBER(Cek_E!V51),6.7,0)+IF(ISNUMBER(Cek_E!V57),6.6,0)+IF(ISNUMBER(Cek_E!V65),5,0)+IF(ISNUMBER(Cek_E!V71),5,0)+IF(ISNUMBER(Cek_E!V77),5,0)+IF(ISNUMBER(Cek_E!V83),5,0)+IF(ISNUMBER(Cek_E!V91),10,0)+IF(ISNUMBER(Cek_E!V97),10,0)+IF(ISNUMBER(Cek_E!V105),20,0)+IF(ISNUMBER(Cek_E!V111),20,0)+IF(ISNUMBER(Cek_E!V117),20,0)+IF(ISNUMBER(Cek_E!V123),20,0)+IF(ISNUMBER(Cek_E!V129),20,0))=0,"",(IF(ISNUMBER(Cek_E!V5),Cek_E!V5*6.7,0)+IF(ISNUMBER(Cek_E!V11),Cek_E!V11*6.7,0)+IF(ISNUMBER(Cek_E!V17),Cek_E!V17*6.6,0)+IF(ISNUMBER(Cek_E!V25),Cek_E!V25*6.7,0)+IF(ISNUMBER(Cek_E!V31),Cek_E!V31*6.7,0)+IF(ISNUMBER(Cek_E!V37),Cek_E!V37*6.6,0)+IF(ISNUMBER(Cek_E!V45),Cek_E!V45*6.7,0)+IF(ISNUMBER(Cek_E!V51),Cek_E!V51*6.7,0)+IF(ISNUMBER(Cek_E!V57),Cek_E!V57*6.6,0)+IF(ISNUMBER(Cek_E!V65),Cek_E!V65*5,0)+IF(ISNUMBER(Cek_E!V71),Cek_E!V71*5,0)+IF(ISNUMBER(Cek_E!V77),Cek_E!V77*5,0)+IF(ISNUMBER(Cek_E!V83),Cek_E!V83*5,0)+IF(ISNUMBER(Cek_E!V91),Cek_E!V91*10,0)+IF(ISNUMBER(Cek_E!V97),Cek_E!V97*10,0)+IF(ISNUMBER(Cek_E!V105),Cek_E!V105*20,0)+IF(ISNUMBER(Cek_E!V111),Cek_E!V111*20,0)+IF(ISNUMBER(Cek_E!V117),Cek_E!V117*20,0)+IF(ISNUMBER(Cek_E!V123),Cek_E!V123*20,0)+IF(ISNUMBER(Cek_E!V129),Cek_E!V129*20,0))/(IF(ISNUMBER(Cek_E!V5),6.7,0)+IF(ISNUMBER(Cek_E!V11),6.7,0)+IF(ISNUMBER(Cek_E!V17),6.6,0)+IF(ISNUMBER(Cek_E!V25),6.7,0)+IF(ISNUMBER(Cek_E!V31),6.7,0)+IF(ISNUMBER(Cek_E!V37),6.6,0)+IF(ISNUMBER(Cek_E!V45),6.7,0)+IF(ISNUMBER(Cek_E!V51),6.7,0)+IF(ISNUMBER(Cek_E!V57),6.6,0)+IF(ISNUMBER(Cek_E!V65),5,0)+IF(ISNUMBER(Cek_E!V71),5,0)+IF(ISNUMBER(Cek_E!V77),5,0)+IF(ISNUMBER(Cek_E!V83),5,0)+IF(ISNUMBER(Cek_E!V91),10,0)+IF(ISNUMBER(Cek_E!V97),10,0)+IF(ISNUMBER(Cek_E!V105),20,0)+IF(ISNUMBER(Cek_E!V111),20,0)+IF(ISNUMBER(Cek_E!V117),20,0)+IF(ISNUMBER(Cek_E!V123),20,0)+IF(ISNUMBER(Cek_E!V129),20,0)))</f>
        <v/>
      </c>
      <c r="W9" s="9" t="str">
        <f>IF((IF(ISNUMBER(Cek_E!W5),6.7,0)+IF(ISNUMBER(Cek_E!W11),6.7,0)+IF(ISNUMBER(Cek_E!W17),6.6,0)+IF(ISNUMBER(Cek_E!W25),6.7,0)+IF(ISNUMBER(Cek_E!W31),6.7,0)+IF(ISNUMBER(Cek_E!W37),6.6,0)+IF(ISNUMBER(Cek_E!W45),6.7,0)+IF(ISNUMBER(Cek_E!W51),6.7,0)+IF(ISNUMBER(Cek_E!W57),6.6,0)+IF(ISNUMBER(Cek_E!W65),5,0)+IF(ISNUMBER(Cek_E!W71),5,0)+IF(ISNUMBER(Cek_E!W77),5,0)+IF(ISNUMBER(Cek_E!W83),5,0)+IF(ISNUMBER(Cek_E!W91),10,0)+IF(ISNUMBER(Cek_E!W97),10,0)+IF(ISNUMBER(Cek_E!W105),20,0)+IF(ISNUMBER(Cek_E!W111),20,0)+IF(ISNUMBER(Cek_E!W117),20,0)+IF(ISNUMBER(Cek_E!W123),20,0)+IF(ISNUMBER(Cek_E!W129),20,0))=0,"",(IF(ISNUMBER(Cek_E!W5),Cek_E!W5*6.7,0)+IF(ISNUMBER(Cek_E!W11),Cek_E!W11*6.7,0)+IF(ISNUMBER(Cek_E!W17),Cek_E!W17*6.6,0)+IF(ISNUMBER(Cek_E!W25),Cek_E!W25*6.7,0)+IF(ISNUMBER(Cek_E!W31),Cek_E!W31*6.7,0)+IF(ISNUMBER(Cek_E!W37),Cek_E!W37*6.6,0)+IF(ISNUMBER(Cek_E!W45),Cek_E!W45*6.7,0)+IF(ISNUMBER(Cek_E!W51),Cek_E!W51*6.7,0)+IF(ISNUMBER(Cek_E!W57),Cek_E!W57*6.6,0)+IF(ISNUMBER(Cek_E!W65),Cek_E!W65*5,0)+IF(ISNUMBER(Cek_E!W71),Cek_E!W71*5,0)+IF(ISNUMBER(Cek_E!W77),Cek_E!W77*5,0)+IF(ISNUMBER(Cek_E!W83),Cek_E!W83*5,0)+IF(ISNUMBER(Cek_E!W91),Cek_E!W91*10,0)+IF(ISNUMBER(Cek_E!W97),Cek_E!W97*10,0)+IF(ISNUMBER(Cek_E!W105),Cek_E!W105*20,0)+IF(ISNUMBER(Cek_E!W111),Cek_E!W111*20,0)+IF(ISNUMBER(Cek_E!W117),Cek_E!W117*20,0)+IF(ISNUMBER(Cek_E!W123),Cek_E!W123*20,0)+IF(ISNUMBER(Cek_E!W129),Cek_E!W129*20,0))/(IF(ISNUMBER(Cek_E!W5),6.7,0)+IF(ISNUMBER(Cek_E!W11),6.7,0)+IF(ISNUMBER(Cek_E!W17),6.6,0)+IF(ISNUMBER(Cek_E!W25),6.7,0)+IF(ISNUMBER(Cek_E!W31),6.7,0)+IF(ISNUMBER(Cek_E!W37),6.6,0)+IF(ISNUMBER(Cek_E!W45),6.7,0)+IF(ISNUMBER(Cek_E!W51),6.7,0)+IF(ISNUMBER(Cek_E!W57),6.6,0)+IF(ISNUMBER(Cek_E!W65),5,0)+IF(ISNUMBER(Cek_E!W71),5,0)+IF(ISNUMBER(Cek_E!W77),5,0)+IF(ISNUMBER(Cek_E!W83),5,0)+IF(ISNUMBER(Cek_E!W91),10,0)+IF(ISNUMBER(Cek_E!W97),10,0)+IF(ISNUMBER(Cek_E!W105),20,0)+IF(ISNUMBER(Cek_E!W111),20,0)+IF(ISNUMBER(Cek_E!W117),20,0)+IF(ISNUMBER(Cek_E!W123),20,0)+IF(ISNUMBER(Cek_E!W129),20,0)))</f>
        <v/>
      </c>
      <c r="X9" s="9" t="str">
        <f>IF((IF(ISNUMBER(Cek_E!X5),6.7,0)+IF(ISNUMBER(Cek_E!X11),6.7,0)+IF(ISNUMBER(Cek_E!X17),6.6,0)+IF(ISNUMBER(Cek_E!X25),6.7,0)+IF(ISNUMBER(Cek_E!X31),6.7,0)+IF(ISNUMBER(Cek_E!X37),6.6,0)+IF(ISNUMBER(Cek_E!X45),6.7,0)+IF(ISNUMBER(Cek_E!X51),6.7,0)+IF(ISNUMBER(Cek_E!X57),6.6,0)+IF(ISNUMBER(Cek_E!X65),5,0)+IF(ISNUMBER(Cek_E!X71),5,0)+IF(ISNUMBER(Cek_E!X77),5,0)+IF(ISNUMBER(Cek_E!X83),5,0)+IF(ISNUMBER(Cek_E!X91),10,0)+IF(ISNUMBER(Cek_E!X97),10,0)+IF(ISNUMBER(Cek_E!X105),20,0)+IF(ISNUMBER(Cek_E!X111),20,0)+IF(ISNUMBER(Cek_E!X117),20,0)+IF(ISNUMBER(Cek_E!X123),20,0)+IF(ISNUMBER(Cek_E!X129),20,0))=0,"",(IF(ISNUMBER(Cek_E!X5),Cek_E!X5*6.7,0)+IF(ISNUMBER(Cek_E!X11),Cek_E!X11*6.7,0)+IF(ISNUMBER(Cek_E!X17),Cek_E!X17*6.6,0)+IF(ISNUMBER(Cek_E!X25),Cek_E!X25*6.7,0)+IF(ISNUMBER(Cek_E!X31),Cek_E!X31*6.7,0)+IF(ISNUMBER(Cek_E!X37),Cek_E!X37*6.6,0)+IF(ISNUMBER(Cek_E!X45),Cek_E!X45*6.7,0)+IF(ISNUMBER(Cek_E!X51),Cek_E!X51*6.7,0)+IF(ISNUMBER(Cek_E!X57),Cek_E!X57*6.6,0)+IF(ISNUMBER(Cek_E!X65),Cek_E!X65*5,0)+IF(ISNUMBER(Cek_E!X71),Cek_E!X71*5,0)+IF(ISNUMBER(Cek_E!X77),Cek_E!X77*5,0)+IF(ISNUMBER(Cek_E!X83),Cek_E!X83*5,0)+IF(ISNUMBER(Cek_E!X91),Cek_E!X91*10,0)+IF(ISNUMBER(Cek_E!X97),Cek_E!X97*10,0)+IF(ISNUMBER(Cek_E!X105),Cek_E!X105*20,0)+IF(ISNUMBER(Cek_E!X111),Cek_E!X111*20,0)+IF(ISNUMBER(Cek_E!X117),Cek_E!X117*20,0)+IF(ISNUMBER(Cek_E!X123),Cek_E!X123*20,0)+IF(ISNUMBER(Cek_E!X129),Cek_E!X129*20,0))/(IF(ISNUMBER(Cek_E!X5),6.7,0)+IF(ISNUMBER(Cek_E!X11),6.7,0)+IF(ISNUMBER(Cek_E!X17),6.6,0)+IF(ISNUMBER(Cek_E!X25),6.7,0)+IF(ISNUMBER(Cek_E!X31),6.7,0)+IF(ISNUMBER(Cek_E!X37),6.6,0)+IF(ISNUMBER(Cek_E!X45),6.7,0)+IF(ISNUMBER(Cek_E!X51),6.7,0)+IF(ISNUMBER(Cek_E!X57),6.6,0)+IF(ISNUMBER(Cek_E!X65),5,0)+IF(ISNUMBER(Cek_E!X71),5,0)+IF(ISNUMBER(Cek_E!X77),5,0)+IF(ISNUMBER(Cek_E!X83),5,0)+IF(ISNUMBER(Cek_E!X91),10,0)+IF(ISNUMBER(Cek_E!X97),10,0)+IF(ISNUMBER(Cek_E!X105),20,0)+IF(ISNUMBER(Cek_E!X111),20,0)+IF(ISNUMBER(Cek_E!X117),20,0)+IF(ISNUMBER(Cek_E!X123),20,0)+IF(ISNUMBER(Cek_E!X129),20,0)))</f>
        <v/>
      </c>
      <c r="Y9" s="9" t="str">
        <f>IF((IF(ISNUMBER(Cek_E!Y5),6.7,0)+IF(ISNUMBER(Cek_E!Y11),6.7,0)+IF(ISNUMBER(Cek_E!Y17),6.6,0)+IF(ISNUMBER(Cek_E!Y25),6.7,0)+IF(ISNUMBER(Cek_E!Y31),6.7,0)+IF(ISNUMBER(Cek_E!Y37),6.6,0)+IF(ISNUMBER(Cek_E!Y45),6.7,0)+IF(ISNUMBER(Cek_E!Y51),6.7,0)+IF(ISNUMBER(Cek_E!Y57),6.6,0)+IF(ISNUMBER(Cek_E!Y65),5,0)+IF(ISNUMBER(Cek_E!Y71),5,0)+IF(ISNUMBER(Cek_E!Y77),5,0)+IF(ISNUMBER(Cek_E!Y83),5,0)+IF(ISNUMBER(Cek_E!Y91),10,0)+IF(ISNUMBER(Cek_E!Y97),10,0)+IF(ISNUMBER(Cek_E!Y105),20,0)+IF(ISNUMBER(Cek_E!Y111),20,0)+IF(ISNUMBER(Cek_E!Y117),20,0)+IF(ISNUMBER(Cek_E!Y123),20,0)+IF(ISNUMBER(Cek_E!Y129),20,0))=0,"",(IF(ISNUMBER(Cek_E!Y5),Cek_E!Y5*6.7,0)+IF(ISNUMBER(Cek_E!Y11),Cek_E!Y11*6.7,0)+IF(ISNUMBER(Cek_E!Y17),Cek_E!Y17*6.6,0)+IF(ISNUMBER(Cek_E!Y25),Cek_E!Y25*6.7,0)+IF(ISNUMBER(Cek_E!Y31),Cek_E!Y31*6.7,0)+IF(ISNUMBER(Cek_E!Y37),Cek_E!Y37*6.6,0)+IF(ISNUMBER(Cek_E!Y45),Cek_E!Y45*6.7,0)+IF(ISNUMBER(Cek_E!Y51),Cek_E!Y51*6.7,0)+IF(ISNUMBER(Cek_E!Y57),Cek_E!Y57*6.6,0)+IF(ISNUMBER(Cek_E!Y65),Cek_E!Y65*5,0)+IF(ISNUMBER(Cek_E!Y71),Cek_E!Y71*5,0)+IF(ISNUMBER(Cek_E!Y77),Cek_E!Y77*5,0)+IF(ISNUMBER(Cek_E!Y83),Cek_E!Y83*5,0)+IF(ISNUMBER(Cek_E!Y91),Cek_E!Y91*10,0)+IF(ISNUMBER(Cek_E!Y97),Cek_E!Y97*10,0)+IF(ISNUMBER(Cek_E!Y105),Cek_E!Y105*20,0)+IF(ISNUMBER(Cek_E!Y111),Cek_E!Y111*20,0)+IF(ISNUMBER(Cek_E!Y117),Cek_E!Y117*20,0)+IF(ISNUMBER(Cek_E!Y123),Cek_E!Y123*20,0)+IF(ISNUMBER(Cek_E!Y129),Cek_E!Y129*20,0))/(IF(ISNUMBER(Cek_E!Y5),6.7,0)+IF(ISNUMBER(Cek_E!Y11),6.7,0)+IF(ISNUMBER(Cek_E!Y17),6.6,0)+IF(ISNUMBER(Cek_E!Y25),6.7,0)+IF(ISNUMBER(Cek_E!Y31),6.7,0)+IF(ISNUMBER(Cek_E!Y37),6.6,0)+IF(ISNUMBER(Cek_E!Y45),6.7,0)+IF(ISNUMBER(Cek_E!Y51),6.7,0)+IF(ISNUMBER(Cek_E!Y57),6.6,0)+IF(ISNUMBER(Cek_E!Y65),5,0)+IF(ISNUMBER(Cek_E!Y71),5,0)+IF(ISNUMBER(Cek_E!Y77),5,0)+IF(ISNUMBER(Cek_E!Y83),5,0)+IF(ISNUMBER(Cek_E!Y91),10,0)+IF(ISNUMBER(Cek_E!Y97),10,0)+IF(ISNUMBER(Cek_E!Y105),20,0)+IF(ISNUMBER(Cek_E!Y111),20,0)+IF(ISNUMBER(Cek_E!Y117),20,0)+IF(ISNUMBER(Cek_E!Y123),20,0)+IF(ISNUMBER(Cek_E!Y129),20,0)))</f>
        <v/>
      </c>
      <c r="Z9" s="9" t="str">
        <f>_xlfn.IFERROR(AVERAGE(E9:Y9),"")</f>
        <v/>
      </c>
    </row>
    <row r="10" spans="8:8" ht="26.0" customHeight="1">
      <c r="A10" s="7">
        <v>7.0</v>
      </c>
      <c r="B10" s="42" t="s">
        <v>18</v>
      </c>
      <c r="C10" s="43" t="s">
        <v>461</v>
      </c>
      <c r="D10" s="32"/>
      <c r="E10" s="9" t="str">
        <f>IF((IF(ISNUMBER(Cek_F!E5),5,0)+IF(ISNUMBER(Cek_F!E11),5,0)+IF(ISNUMBER(Cek_F!E17),5,0)+IF(ISNUMBER(Cek_F!E23),5,0)+IF(ISNUMBER(Cek_F!E31),5,0)+IF(ISNUMBER(Cek_F!E37),5,0)+IF(ISNUMBER(Cek_F!E43),5,0)+IF(ISNUMBER(Cek_F!E49),5,0)+IF(ISNUMBER(Cek_F!E57),6.7,0)+IF(ISNUMBER(Cek_F!E63),6.7,0)+IF(ISNUMBER(Cek_F!E69),6.6,0)+IF(ISNUMBER(Cek_F!E77),10,0)+IF(ISNUMBER(Cek_F!E83),10,0)+IF(ISNUMBER(Cek_F!E91),6.7,0)+IF(ISNUMBER(Cek_F!E97),6.7,0)+IF(ISNUMBER(Cek_F!E103),6.6,0)+IF(ISNUMBER(Cek_F!E111),20,0)+IF(ISNUMBER(Cek_F!E117),20,0)+IF(ISNUMBER(Cek_F!E123),20,0)+IF(ISNUMBER(Cek_F!E129),20,0)+IF(ISNUMBER(Cek_F!E135),20,0))=0,"",(IF(ISNUMBER(Cek_F!E5),Cek_F!E5*5,0)+IF(ISNUMBER(Cek_F!E11),Cek_F!E11*5,0)+IF(ISNUMBER(Cek_F!E17),Cek_F!E17*5,0)+IF(ISNUMBER(Cek_F!E23),Cek_F!E23*5,0)+IF(ISNUMBER(Cek_F!E31),Cek_F!E31*5,0)+IF(ISNUMBER(Cek_F!E37),Cek_F!E37*5,0)+IF(ISNUMBER(Cek_F!E43),Cek_F!E43*5,0)+IF(ISNUMBER(Cek_F!E49),Cek_F!E49*5,0)+IF(ISNUMBER(Cek_F!E57),Cek_F!E57*6.7,0)+IF(ISNUMBER(Cek_F!E63),Cek_F!E63*6.7,0)+IF(ISNUMBER(Cek_F!E69),Cek_F!E69*6.6,0)+IF(ISNUMBER(Cek_F!E77),Cek_F!E77*10,0)+IF(ISNUMBER(Cek_F!E83),Cek_F!E83*10,0)+IF(ISNUMBER(Cek_F!E91),Cek_F!E91*6.7,0)+IF(ISNUMBER(Cek_F!E97),Cek_F!E97*6.7,0)+IF(ISNUMBER(Cek_F!E103),Cek_F!E103*6.6,0)+IF(ISNUMBER(Cek_F!E111),Cek_F!E111*20,0)+IF(ISNUMBER(Cek_F!E117),Cek_F!E117*20,0)+IF(ISNUMBER(Cek_F!E123),Cek_F!E123*20,0)+IF(ISNUMBER(Cek_F!E129),Cek_F!E129*20,0)+IF(ISNUMBER(Cek_F!E135),Cek_F!E135*20,0))/(IF(ISNUMBER(Cek_F!E5),5,0)+IF(ISNUMBER(Cek_F!E11),5,0)+IF(ISNUMBER(Cek_F!E17),5,0)+IF(ISNUMBER(Cek_F!E23),5,0)+IF(ISNUMBER(Cek_F!E31),5,0)+IF(ISNUMBER(Cek_F!E37),5,0)+IF(ISNUMBER(Cek_F!E43),5,0)+IF(ISNUMBER(Cek_F!E49),5,0)+IF(ISNUMBER(Cek_F!E57),6.7,0)+IF(ISNUMBER(Cek_F!E63),6.7,0)+IF(ISNUMBER(Cek_F!E69),6.6,0)+IF(ISNUMBER(Cek_F!E77),10,0)+IF(ISNUMBER(Cek_F!E83),10,0)+IF(ISNUMBER(Cek_F!E91),6.7,0)+IF(ISNUMBER(Cek_F!E97),6.7,0)+IF(ISNUMBER(Cek_F!E103),6.6,0)+IF(ISNUMBER(Cek_F!E111),20,0)+IF(ISNUMBER(Cek_F!E117),20,0)+IF(ISNUMBER(Cek_F!E123),20,0)+IF(ISNUMBER(Cek_F!E129),20,0)+IF(ISNUMBER(Cek_F!E135),20,0)))</f>
        <v/>
      </c>
      <c r="F10" s="9" t="str">
        <f>IF((IF(ISNUMBER(Cek_F!F5),5,0)+IF(ISNUMBER(Cek_F!F11),5,0)+IF(ISNUMBER(Cek_F!F17),5,0)+IF(ISNUMBER(Cek_F!F23),5,0)+IF(ISNUMBER(Cek_F!F31),5,0)+IF(ISNUMBER(Cek_F!F37),5,0)+IF(ISNUMBER(Cek_F!F43),5,0)+IF(ISNUMBER(Cek_F!F49),5,0)+IF(ISNUMBER(Cek_F!F57),6.7,0)+IF(ISNUMBER(Cek_F!F63),6.7,0)+IF(ISNUMBER(Cek_F!F69),6.6,0)+IF(ISNUMBER(Cek_F!F77),10,0)+IF(ISNUMBER(Cek_F!F83),10,0)+IF(ISNUMBER(Cek_F!F91),6.7,0)+IF(ISNUMBER(Cek_F!F97),6.7,0)+IF(ISNUMBER(Cek_F!F103),6.6,0)+IF(ISNUMBER(Cek_F!F111),20,0)+IF(ISNUMBER(Cek_F!F117),20,0)+IF(ISNUMBER(Cek_F!F123),20,0)+IF(ISNUMBER(Cek_F!F129),20,0)+IF(ISNUMBER(Cek_F!F135),20,0))=0,"",(IF(ISNUMBER(Cek_F!F5),Cek_F!F5*5,0)+IF(ISNUMBER(Cek_F!F11),Cek_F!F11*5,0)+IF(ISNUMBER(Cek_F!F17),Cek_F!F17*5,0)+IF(ISNUMBER(Cek_F!F23),Cek_F!F23*5,0)+IF(ISNUMBER(Cek_F!F31),Cek_F!F31*5,0)+IF(ISNUMBER(Cek_F!F37),Cek_F!F37*5,0)+IF(ISNUMBER(Cek_F!F43),Cek_F!F43*5,0)+IF(ISNUMBER(Cek_F!F49),Cek_F!F49*5,0)+IF(ISNUMBER(Cek_F!F57),Cek_F!F57*6.7,0)+IF(ISNUMBER(Cek_F!F63),Cek_F!F63*6.7,0)+IF(ISNUMBER(Cek_F!F69),Cek_F!F69*6.6,0)+IF(ISNUMBER(Cek_F!F77),Cek_F!F77*10,0)+IF(ISNUMBER(Cek_F!F83),Cek_F!F83*10,0)+IF(ISNUMBER(Cek_F!F91),Cek_F!F91*6.7,0)+IF(ISNUMBER(Cek_F!F97),Cek_F!F97*6.7,0)+IF(ISNUMBER(Cek_F!F103),Cek_F!F103*6.6,0)+IF(ISNUMBER(Cek_F!F111),Cek_F!F111*20,0)+IF(ISNUMBER(Cek_F!F117),Cek_F!F117*20,0)+IF(ISNUMBER(Cek_F!F123),Cek_F!F123*20,0)+IF(ISNUMBER(Cek_F!F129),Cek_F!F129*20,0)+IF(ISNUMBER(Cek_F!F135),Cek_F!F135*20,0))/(IF(ISNUMBER(Cek_F!F5),5,0)+IF(ISNUMBER(Cek_F!F11),5,0)+IF(ISNUMBER(Cek_F!F17),5,0)+IF(ISNUMBER(Cek_F!F23),5,0)+IF(ISNUMBER(Cek_F!F31),5,0)+IF(ISNUMBER(Cek_F!F37),5,0)+IF(ISNUMBER(Cek_F!F43),5,0)+IF(ISNUMBER(Cek_F!F49),5,0)+IF(ISNUMBER(Cek_F!F57),6.7,0)+IF(ISNUMBER(Cek_F!F63),6.7,0)+IF(ISNUMBER(Cek_F!F69),6.6,0)+IF(ISNUMBER(Cek_F!F77),10,0)+IF(ISNUMBER(Cek_F!F83),10,0)+IF(ISNUMBER(Cek_F!F91),6.7,0)+IF(ISNUMBER(Cek_F!F97),6.7,0)+IF(ISNUMBER(Cek_F!F103),6.6,0)+IF(ISNUMBER(Cek_F!F111),20,0)+IF(ISNUMBER(Cek_F!F117),20,0)+IF(ISNUMBER(Cek_F!F123),20,0)+IF(ISNUMBER(Cek_F!F129),20,0)+IF(ISNUMBER(Cek_F!F135),20,0)))</f>
        <v/>
      </c>
      <c r="G10" s="9" t="str">
        <f>IF((IF(ISNUMBER(Cek_F!G5),5,0)+IF(ISNUMBER(Cek_F!G11),5,0)+IF(ISNUMBER(Cek_F!G17),5,0)+IF(ISNUMBER(Cek_F!G23),5,0)+IF(ISNUMBER(Cek_F!G31),5,0)+IF(ISNUMBER(Cek_F!G37),5,0)+IF(ISNUMBER(Cek_F!G43),5,0)+IF(ISNUMBER(Cek_F!G49),5,0)+IF(ISNUMBER(Cek_F!G57),6.7,0)+IF(ISNUMBER(Cek_F!G63),6.7,0)+IF(ISNUMBER(Cek_F!G69),6.6,0)+IF(ISNUMBER(Cek_F!G77),10,0)+IF(ISNUMBER(Cek_F!G83),10,0)+IF(ISNUMBER(Cek_F!G91),6.7,0)+IF(ISNUMBER(Cek_F!G97),6.7,0)+IF(ISNUMBER(Cek_F!G103),6.6,0)+IF(ISNUMBER(Cek_F!G111),20,0)+IF(ISNUMBER(Cek_F!G117),20,0)+IF(ISNUMBER(Cek_F!G123),20,0)+IF(ISNUMBER(Cek_F!G129),20,0)+IF(ISNUMBER(Cek_F!G135),20,0))=0,"",(IF(ISNUMBER(Cek_F!G5),Cek_F!G5*5,0)+IF(ISNUMBER(Cek_F!G11),Cek_F!G11*5,0)+IF(ISNUMBER(Cek_F!G17),Cek_F!G17*5,0)+IF(ISNUMBER(Cek_F!G23),Cek_F!G23*5,0)+IF(ISNUMBER(Cek_F!G31),Cek_F!G31*5,0)+IF(ISNUMBER(Cek_F!G37),Cek_F!G37*5,0)+IF(ISNUMBER(Cek_F!G43),Cek_F!G43*5,0)+IF(ISNUMBER(Cek_F!G49),Cek_F!G49*5,0)+IF(ISNUMBER(Cek_F!G57),Cek_F!G57*6.7,0)+IF(ISNUMBER(Cek_F!G63),Cek_F!G63*6.7,0)+IF(ISNUMBER(Cek_F!G69),Cek_F!G69*6.6,0)+IF(ISNUMBER(Cek_F!G77),Cek_F!G77*10,0)+IF(ISNUMBER(Cek_F!G83),Cek_F!G83*10,0)+IF(ISNUMBER(Cek_F!G91),Cek_F!G91*6.7,0)+IF(ISNUMBER(Cek_F!G97),Cek_F!G97*6.7,0)+IF(ISNUMBER(Cek_F!G103),Cek_F!G103*6.6,0)+IF(ISNUMBER(Cek_F!G111),Cek_F!G111*20,0)+IF(ISNUMBER(Cek_F!G117),Cek_F!G117*20,0)+IF(ISNUMBER(Cek_F!G123),Cek_F!G123*20,0)+IF(ISNUMBER(Cek_F!G129),Cek_F!G129*20,0)+IF(ISNUMBER(Cek_F!G135),Cek_F!G135*20,0))/(IF(ISNUMBER(Cek_F!G5),5,0)+IF(ISNUMBER(Cek_F!G11),5,0)+IF(ISNUMBER(Cek_F!G17),5,0)+IF(ISNUMBER(Cek_F!G23),5,0)+IF(ISNUMBER(Cek_F!G31),5,0)+IF(ISNUMBER(Cek_F!G37),5,0)+IF(ISNUMBER(Cek_F!G43),5,0)+IF(ISNUMBER(Cek_F!G49),5,0)+IF(ISNUMBER(Cek_F!G57),6.7,0)+IF(ISNUMBER(Cek_F!G63),6.7,0)+IF(ISNUMBER(Cek_F!G69),6.6,0)+IF(ISNUMBER(Cek_F!G77),10,0)+IF(ISNUMBER(Cek_F!G83),10,0)+IF(ISNUMBER(Cek_F!G91),6.7,0)+IF(ISNUMBER(Cek_F!G97),6.7,0)+IF(ISNUMBER(Cek_F!G103),6.6,0)+IF(ISNUMBER(Cek_F!G111),20,0)+IF(ISNUMBER(Cek_F!G117),20,0)+IF(ISNUMBER(Cek_F!G123),20,0)+IF(ISNUMBER(Cek_F!G129),20,0)+IF(ISNUMBER(Cek_F!G135),20,0)))</f>
        <v/>
      </c>
      <c r="H10" s="9" t="str">
        <f>IF((IF(ISNUMBER(Cek_F!H5),5,0)+IF(ISNUMBER(Cek_F!H11),5,0)+IF(ISNUMBER(Cek_F!H17),5,0)+IF(ISNUMBER(Cek_F!H23),5,0)+IF(ISNUMBER(Cek_F!H31),5,0)+IF(ISNUMBER(Cek_F!H37),5,0)+IF(ISNUMBER(Cek_F!H43),5,0)+IF(ISNUMBER(Cek_F!H49),5,0)+IF(ISNUMBER(Cek_F!H57),6.7,0)+IF(ISNUMBER(Cek_F!H63),6.7,0)+IF(ISNUMBER(Cek_F!H69),6.6,0)+IF(ISNUMBER(Cek_F!H77),10,0)+IF(ISNUMBER(Cek_F!H83),10,0)+IF(ISNUMBER(Cek_F!H91),6.7,0)+IF(ISNUMBER(Cek_F!H97),6.7,0)+IF(ISNUMBER(Cek_F!H103),6.6,0)+IF(ISNUMBER(Cek_F!H111),20,0)+IF(ISNUMBER(Cek_F!H117),20,0)+IF(ISNUMBER(Cek_F!H123),20,0)+IF(ISNUMBER(Cek_F!H129),20,0)+IF(ISNUMBER(Cek_F!H135),20,0))=0,"",(IF(ISNUMBER(Cek_F!H5),Cek_F!H5*5,0)+IF(ISNUMBER(Cek_F!H11),Cek_F!H11*5,0)+IF(ISNUMBER(Cek_F!H17),Cek_F!H17*5,0)+IF(ISNUMBER(Cek_F!H23),Cek_F!H23*5,0)+IF(ISNUMBER(Cek_F!H31),Cek_F!H31*5,0)+IF(ISNUMBER(Cek_F!H37),Cek_F!H37*5,0)+IF(ISNUMBER(Cek_F!H43),Cek_F!H43*5,0)+IF(ISNUMBER(Cek_F!H49),Cek_F!H49*5,0)+IF(ISNUMBER(Cek_F!H57),Cek_F!H57*6.7,0)+IF(ISNUMBER(Cek_F!H63),Cek_F!H63*6.7,0)+IF(ISNUMBER(Cek_F!H69),Cek_F!H69*6.6,0)+IF(ISNUMBER(Cek_F!H77),Cek_F!H77*10,0)+IF(ISNUMBER(Cek_F!H83),Cek_F!H83*10,0)+IF(ISNUMBER(Cek_F!H91),Cek_F!H91*6.7,0)+IF(ISNUMBER(Cek_F!H97),Cek_F!H97*6.7,0)+IF(ISNUMBER(Cek_F!H103),Cek_F!H103*6.6,0)+IF(ISNUMBER(Cek_F!H111),Cek_F!H111*20,0)+IF(ISNUMBER(Cek_F!H117),Cek_F!H117*20,0)+IF(ISNUMBER(Cek_F!H123),Cek_F!H123*20,0)+IF(ISNUMBER(Cek_F!H129),Cek_F!H129*20,0)+IF(ISNUMBER(Cek_F!H135),Cek_F!H135*20,0))/(IF(ISNUMBER(Cek_F!H5),5,0)+IF(ISNUMBER(Cek_F!H11),5,0)+IF(ISNUMBER(Cek_F!H17),5,0)+IF(ISNUMBER(Cek_F!H23),5,0)+IF(ISNUMBER(Cek_F!H31),5,0)+IF(ISNUMBER(Cek_F!H37),5,0)+IF(ISNUMBER(Cek_F!H43),5,0)+IF(ISNUMBER(Cek_F!H49),5,0)+IF(ISNUMBER(Cek_F!H57),6.7,0)+IF(ISNUMBER(Cek_F!H63),6.7,0)+IF(ISNUMBER(Cek_F!H69),6.6,0)+IF(ISNUMBER(Cek_F!H77),10,0)+IF(ISNUMBER(Cek_F!H83),10,0)+IF(ISNUMBER(Cek_F!H91),6.7,0)+IF(ISNUMBER(Cek_F!H97),6.7,0)+IF(ISNUMBER(Cek_F!H103),6.6,0)+IF(ISNUMBER(Cek_F!H111),20,0)+IF(ISNUMBER(Cek_F!H117),20,0)+IF(ISNUMBER(Cek_F!H123),20,0)+IF(ISNUMBER(Cek_F!H129),20,0)+IF(ISNUMBER(Cek_F!H135),20,0)))</f>
        <v/>
      </c>
      <c r="I10" s="9" t="str">
        <f>IF((IF(ISNUMBER(Cek_F!I5),5,0)+IF(ISNUMBER(Cek_F!I11),5,0)+IF(ISNUMBER(Cek_F!I17),5,0)+IF(ISNUMBER(Cek_F!I23),5,0)+IF(ISNUMBER(Cek_F!I31),5,0)+IF(ISNUMBER(Cek_F!I37),5,0)+IF(ISNUMBER(Cek_F!I43),5,0)+IF(ISNUMBER(Cek_F!I49),5,0)+IF(ISNUMBER(Cek_F!I57),6.7,0)+IF(ISNUMBER(Cek_F!I63),6.7,0)+IF(ISNUMBER(Cek_F!I69),6.6,0)+IF(ISNUMBER(Cek_F!I77),10,0)+IF(ISNUMBER(Cek_F!I83),10,0)+IF(ISNUMBER(Cek_F!I91),6.7,0)+IF(ISNUMBER(Cek_F!I97),6.7,0)+IF(ISNUMBER(Cek_F!I103),6.6,0)+IF(ISNUMBER(Cek_F!I111),20,0)+IF(ISNUMBER(Cek_F!I117),20,0)+IF(ISNUMBER(Cek_F!I123),20,0)+IF(ISNUMBER(Cek_F!I129),20,0)+IF(ISNUMBER(Cek_F!I135),20,0))=0,"",(IF(ISNUMBER(Cek_F!I5),Cek_F!I5*5,0)+IF(ISNUMBER(Cek_F!I11),Cek_F!I11*5,0)+IF(ISNUMBER(Cek_F!I17),Cek_F!I17*5,0)+IF(ISNUMBER(Cek_F!I23),Cek_F!I23*5,0)+IF(ISNUMBER(Cek_F!I31),Cek_F!I31*5,0)+IF(ISNUMBER(Cek_F!I37),Cek_F!I37*5,0)+IF(ISNUMBER(Cek_F!I43),Cek_F!I43*5,0)+IF(ISNUMBER(Cek_F!I49),Cek_F!I49*5,0)+IF(ISNUMBER(Cek_F!I57),Cek_F!I57*6.7,0)+IF(ISNUMBER(Cek_F!I63),Cek_F!I63*6.7,0)+IF(ISNUMBER(Cek_F!I69),Cek_F!I69*6.6,0)+IF(ISNUMBER(Cek_F!I77),Cek_F!I77*10,0)+IF(ISNUMBER(Cek_F!I83),Cek_F!I83*10,0)+IF(ISNUMBER(Cek_F!I91),Cek_F!I91*6.7,0)+IF(ISNUMBER(Cek_F!I97),Cek_F!I97*6.7,0)+IF(ISNUMBER(Cek_F!I103),Cek_F!I103*6.6,0)+IF(ISNUMBER(Cek_F!I111),Cek_F!I111*20,0)+IF(ISNUMBER(Cek_F!I117),Cek_F!I117*20,0)+IF(ISNUMBER(Cek_F!I123),Cek_F!I123*20,0)+IF(ISNUMBER(Cek_F!I129),Cek_F!I129*20,0)+IF(ISNUMBER(Cek_F!I135),Cek_F!I135*20,0))/(IF(ISNUMBER(Cek_F!I5),5,0)+IF(ISNUMBER(Cek_F!I11),5,0)+IF(ISNUMBER(Cek_F!I17),5,0)+IF(ISNUMBER(Cek_F!I23),5,0)+IF(ISNUMBER(Cek_F!I31),5,0)+IF(ISNUMBER(Cek_F!I37),5,0)+IF(ISNUMBER(Cek_F!I43),5,0)+IF(ISNUMBER(Cek_F!I49),5,0)+IF(ISNUMBER(Cek_F!I57),6.7,0)+IF(ISNUMBER(Cek_F!I63),6.7,0)+IF(ISNUMBER(Cek_F!I69),6.6,0)+IF(ISNUMBER(Cek_F!I77),10,0)+IF(ISNUMBER(Cek_F!I83),10,0)+IF(ISNUMBER(Cek_F!I91),6.7,0)+IF(ISNUMBER(Cek_F!I97),6.7,0)+IF(ISNUMBER(Cek_F!I103),6.6,0)+IF(ISNUMBER(Cek_F!I111),20,0)+IF(ISNUMBER(Cek_F!I117),20,0)+IF(ISNUMBER(Cek_F!I123),20,0)+IF(ISNUMBER(Cek_F!I129),20,0)+IF(ISNUMBER(Cek_F!I135),20,0)))</f>
        <v/>
      </c>
      <c r="J10" s="9" t="str">
        <f>IF((IF(ISNUMBER(Cek_F!J5),5,0)+IF(ISNUMBER(Cek_F!J11),5,0)+IF(ISNUMBER(Cek_F!J17),5,0)+IF(ISNUMBER(Cek_F!J23),5,0)+IF(ISNUMBER(Cek_F!J31),5,0)+IF(ISNUMBER(Cek_F!J37),5,0)+IF(ISNUMBER(Cek_F!J43),5,0)+IF(ISNUMBER(Cek_F!J49),5,0)+IF(ISNUMBER(Cek_F!J57),6.7,0)+IF(ISNUMBER(Cek_F!J63),6.7,0)+IF(ISNUMBER(Cek_F!J69),6.6,0)+IF(ISNUMBER(Cek_F!J77),10,0)+IF(ISNUMBER(Cek_F!J83),10,0)+IF(ISNUMBER(Cek_F!J91),6.7,0)+IF(ISNUMBER(Cek_F!J97),6.7,0)+IF(ISNUMBER(Cek_F!J103),6.6,0)+IF(ISNUMBER(Cek_F!J111),20,0)+IF(ISNUMBER(Cek_F!J117),20,0)+IF(ISNUMBER(Cek_F!J123),20,0)+IF(ISNUMBER(Cek_F!J129),20,0)+IF(ISNUMBER(Cek_F!J135),20,0))=0,"",(IF(ISNUMBER(Cek_F!J5),Cek_F!J5*5,0)+IF(ISNUMBER(Cek_F!J11),Cek_F!J11*5,0)+IF(ISNUMBER(Cek_F!J17),Cek_F!J17*5,0)+IF(ISNUMBER(Cek_F!J23),Cek_F!J23*5,0)+IF(ISNUMBER(Cek_F!J31),Cek_F!J31*5,0)+IF(ISNUMBER(Cek_F!J37),Cek_F!J37*5,0)+IF(ISNUMBER(Cek_F!J43),Cek_F!J43*5,0)+IF(ISNUMBER(Cek_F!J49),Cek_F!J49*5,0)+IF(ISNUMBER(Cek_F!J57),Cek_F!J57*6.7,0)+IF(ISNUMBER(Cek_F!J63),Cek_F!J63*6.7,0)+IF(ISNUMBER(Cek_F!J69),Cek_F!J69*6.6,0)+IF(ISNUMBER(Cek_F!J77),Cek_F!J77*10,0)+IF(ISNUMBER(Cek_F!J83),Cek_F!J83*10,0)+IF(ISNUMBER(Cek_F!J91),Cek_F!J91*6.7,0)+IF(ISNUMBER(Cek_F!J97),Cek_F!J97*6.7,0)+IF(ISNUMBER(Cek_F!J103),Cek_F!J103*6.6,0)+IF(ISNUMBER(Cek_F!J111),Cek_F!J111*20,0)+IF(ISNUMBER(Cek_F!J117),Cek_F!J117*20,0)+IF(ISNUMBER(Cek_F!J123),Cek_F!J123*20,0)+IF(ISNUMBER(Cek_F!J129),Cek_F!J129*20,0)+IF(ISNUMBER(Cek_F!J135),Cek_F!J135*20,0))/(IF(ISNUMBER(Cek_F!J5),5,0)+IF(ISNUMBER(Cek_F!J11),5,0)+IF(ISNUMBER(Cek_F!J17),5,0)+IF(ISNUMBER(Cek_F!J23),5,0)+IF(ISNUMBER(Cek_F!J31),5,0)+IF(ISNUMBER(Cek_F!J37),5,0)+IF(ISNUMBER(Cek_F!J43),5,0)+IF(ISNUMBER(Cek_F!J49),5,0)+IF(ISNUMBER(Cek_F!J57),6.7,0)+IF(ISNUMBER(Cek_F!J63),6.7,0)+IF(ISNUMBER(Cek_F!J69),6.6,0)+IF(ISNUMBER(Cek_F!J77),10,0)+IF(ISNUMBER(Cek_F!J83),10,0)+IF(ISNUMBER(Cek_F!J91),6.7,0)+IF(ISNUMBER(Cek_F!J97),6.7,0)+IF(ISNUMBER(Cek_F!J103),6.6,0)+IF(ISNUMBER(Cek_F!J111),20,0)+IF(ISNUMBER(Cek_F!J117),20,0)+IF(ISNUMBER(Cek_F!J123),20,0)+IF(ISNUMBER(Cek_F!J129),20,0)+IF(ISNUMBER(Cek_F!J135),20,0)))</f>
        <v/>
      </c>
      <c r="K10" s="9" t="str">
        <f>IF((IF(ISNUMBER(Cek_F!K5),5,0)+IF(ISNUMBER(Cek_F!K11),5,0)+IF(ISNUMBER(Cek_F!K17),5,0)+IF(ISNUMBER(Cek_F!K23),5,0)+IF(ISNUMBER(Cek_F!K31),5,0)+IF(ISNUMBER(Cek_F!K37),5,0)+IF(ISNUMBER(Cek_F!K43),5,0)+IF(ISNUMBER(Cek_F!K49),5,0)+IF(ISNUMBER(Cek_F!K57),6.7,0)+IF(ISNUMBER(Cek_F!K63),6.7,0)+IF(ISNUMBER(Cek_F!K69),6.6,0)+IF(ISNUMBER(Cek_F!K77),10,0)+IF(ISNUMBER(Cek_F!K83),10,0)+IF(ISNUMBER(Cek_F!K91),6.7,0)+IF(ISNUMBER(Cek_F!K97),6.7,0)+IF(ISNUMBER(Cek_F!K103),6.6,0)+IF(ISNUMBER(Cek_F!K111),20,0)+IF(ISNUMBER(Cek_F!K117),20,0)+IF(ISNUMBER(Cek_F!K123),20,0)+IF(ISNUMBER(Cek_F!K129),20,0)+IF(ISNUMBER(Cek_F!K135),20,0))=0,"",(IF(ISNUMBER(Cek_F!K5),Cek_F!K5*5,0)+IF(ISNUMBER(Cek_F!K11),Cek_F!K11*5,0)+IF(ISNUMBER(Cek_F!K17),Cek_F!K17*5,0)+IF(ISNUMBER(Cek_F!K23),Cek_F!K23*5,0)+IF(ISNUMBER(Cek_F!K31),Cek_F!K31*5,0)+IF(ISNUMBER(Cek_F!K37),Cek_F!K37*5,0)+IF(ISNUMBER(Cek_F!K43),Cek_F!K43*5,0)+IF(ISNUMBER(Cek_F!K49),Cek_F!K49*5,0)+IF(ISNUMBER(Cek_F!K57),Cek_F!K57*6.7,0)+IF(ISNUMBER(Cek_F!K63),Cek_F!K63*6.7,0)+IF(ISNUMBER(Cek_F!K69),Cek_F!K69*6.6,0)+IF(ISNUMBER(Cek_F!K77),Cek_F!K77*10,0)+IF(ISNUMBER(Cek_F!K83),Cek_F!K83*10,0)+IF(ISNUMBER(Cek_F!K91),Cek_F!K91*6.7,0)+IF(ISNUMBER(Cek_F!K97),Cek_F!K97*6.7,0)+IF(ISNUMBER(Cek_F!K103),Cek_F!K103*6.6,0)+IF(ISNUMBER(Cek_F!K111),Cek_F!K111*20,0)+IF(ISNUMBER(Cek_F!K117),Cek_F!K117*20,0)+IF(ISNUMBER(Cek_F!K123),Cek_F!K123*20,0)+IF(ISNUMBER(Cek_F!K129),Cek_F!K129*20,0)+IF(ISNUMBER(Cek_F!K135),Cek_F!K135*20,0))/(IF(ISNUMBER(Cek_F!K5),5,0)+IF(ISNUMBER(Cek_F!K11),5,0)+IF(ISNUMBER(Cek_F!K17),5,0)+IF(ISNUMBER(Cek_F!K23),5,0)+IF(ISNUMBER(Cek_F!K31),5,0)+IF(ISNUMBER(Cek_F!K37),5,0)+IF(ISNUMBER(Cek_F!K43),5,0)+IF(ISNUMBER(Cek_F!K49),5,0)+IF(ISNUMBER(Cek_F!K57),6.7,0)+IF(ISNUMBER(Cek_F!K63),6.7,0)+IF(ISNUMBER(Cek_F!K69),6.6,0)+IF(ISNUMBER(Cek_F!K77),10,0)+IF(ISNUMBER(Cek_F!K83),10,0)+IF(ISNUMBER(Cek_F!K91),6.7,0)+IF(ISNUMBER(Cek_F!K97),6.7,0)+IF(ISNUMBER(Cek_F!K103),6.6,0)+IF(ISNUMBER(Cek_F!K111),20,0)+IF(ISNUMBER(Cek_F!K117),20,0)+IF(ISNUMBER(Cek_F!K123),20,0)+IF(ISNUMBER(Cek_F!K129),20,0)+IF(ISNUMBER(Cek_F!K135),20,0)))</f>
        <v/>
      </c>
      <c r="L10" s="9" t="str">
        <f>IF((IF(ISNUMBER(Cek_F!L5),5,0)+IF(ISNUMBER(Cek_F!L11),5,0)+IF(ISNUMBER(Cek_F!L17),5,0)+IF(ISNUMBER(Cek_F!L23),5,0)+IF(ISNUMBER(Cek_F!L31),5,0)+IF(ISNUMBER(Cek_F!L37),5,0)+IF(ISNUMBER(Cek_F!L43),5,0)+IF(ISNUMBER(Cek_F!L49),5,0)+IF(ISNUMBER(Cek_F!L57),6.7,0)+IF(ISNUMBER(Cek_F!L63),6.7,0)+IF(ISNUMBER(Cek_F!L69),6.6,0)+IF(ISNUMBER(Cek_F!L77),10,0)+IF(ISNUMBER(Cek_F!L83),10,0)+IF(ISNUMBER(Cek_F!L91),6.7,0)+IF(ISNUMBER(Cek_F!L97),6.7,0)+IF(ISNUMBER(Cek_F!L103),6.6,0)+IF(ISNUMBER(Cek_F!L111),20,0)+IF(ISNUMBER(Cek_F!L117),20,0)+IF(ISNUMBER(Cek_F!L123),20,0)+IF(ISNUMBER(Cek_F!L129),20,0)+IF(ISNUMBER(Cek_F!L135),20,0))=0,"",(IF(ISNUMBER(Cek_F!L5),Cek_F!L5*5,0)+IF(ISNUMBER(Cek_F!L11),Cek_F!L11*5,0)+IF(ISNUMBER(Cek_F!L17),Cek_F!L17*5,0)+IF(ISNUMBER(Cek_F!L23),Cek_F!L23*5,0)+IF(ISNUMBER(Cek_F!L31),Cek_F!L31*5,0)+IF(ISNUMBER(Cek_F!L37),Cek_F!L37*5,0)+IF(ISNUMBER(Cek_F!L43),Cek_F!L43*5,0)+IF(ISNUMBER(Cek_F!L49),Cek_F!L49*5,0)+IF(ISNUMBER(Cek_F!L57),Cek_F!L57*6.7,0)+IF(ISNUMBER(Cek_F!L63),Cek_F!L63*6.7,0)+IF(ISNUMBER(Cek_F!L69),Cek_F!L69*6.6,0)+IF(ISNUMBER(Cek_F!L77),Cek_F!L77*10,0)+IF(ISNUMBER(Cek_F!L83),Cek_F!L83*10,0)+IF(ISNUMBER(Cek_F!L91),Cek_F!L91*6.7,0)+IF(ISNUMBER(Cek_F!L97),Cek_F!L97*6.7,0)+IF(ISNUMBER(Cek_F!L103),Cek_F!L103*6.6,0)+IF(ISNUMBER(Cek_F!L111),Cek_F!L111*20,0)+IF(ISNUMBER(Cek_F!L117),Cek_F!L117*20,0)+IF(ISNUMBER(Cek_F!L123),Cek_F!L123*20,0)+IF(ISNUMBER(Cek_F!L129),Cek_F!L129*20,0)+IF(ISNUMBER(Cek_F!L135),Cek_F!L135*20,0))/(IF(ISNUMBER(Cek_F!L5),5,0)+IF(ISNUMBER(Cek_F!L11),5,0)+IF(ISNUMBER(Cek_F!L17),5,0)+IF(ISNUMBER(Cek_F!L23),5,0)+IF(ISNUMBER(Cek_F!L31),5,0)+IF(ISNUMBER(Cek_F!L37),5,0)+IF(ISNUMBER(Cek_F!L43),5,0)+IF(ISNUMBER(Cek_F!L49),5,0)+IF(ISNUMBER(Cek_F!L57),6.7,0)+IF(ISNUMBER(Cek_F!L63),6.7,0)+IF(ISNUMBER(Cek_F!L69),6.6,0)+IF(ISNUMBER(Cek_F!L77),10,0)+IF(ISNUMBER(Cek_F!L83),10,0)+IF(ISNUMBER(Cek_F!L91),6.7,0)+IF(ISNUMBER(Cek_F!L97),6.7,0)+IF(ISNUMBER(Cek_F!L103),6.6,0)+IF(ISNUMBER(Cek_F!L111),20,0)+IF(ISNUMBER(Cek_F!L117),20,0)+IF(ISNUMBER(Cek_F!L123),20,0)+IF(ISNUMBER(Cek_F!L129),20,0)+IF(ISNUMBER(Cek_F!L135),20,0)))</f>
        <v/>
      </c>
      <c r="M10" s="9" t="str">
        <f>IF((IF(ISNUMBER(Cek_F!M5),5,0)+IF(ISNUMBER(Cek_F!M11),5,0)+IF(ISNUMBER(Cek_F!M17),5,0)+IF(ISNUMBER(Cek_F!M23),5,0)+IF(ISNUMBER(Cek_F!M31),5,0)+IF(ISNUMBER(Cek_F!M37),5,0)+IF(ISNUMBER(Cek_F!M43),5,0)+IF(ISNUMBER(Cek_F!M49),5,0)+IF(ISNUMBER(Cek_F!M57),6.7,0)+IF(ISNUMBER(Cek_F!M63),6.7,0)+IF(ISNUMBER(Cek_F!M69),6.6,0)+IF(ISNUMBER(Cek_F!M77),10,0)+IF(ISNUMBER(Cek_F!M83),10,0)+IF(ISNUMBER(Cek_F!M91),6.7,0)+IF(ISNUMBER(Cek_F!M97),6.7,0)+IF(ISNUMBER(Cek_F!M103),6.6,0)+IF(ISNUMBER(Cek_F!M111),20,0)+IF(ISNUMBER(Cek_F!M117),20,0)+IF(ISNUMBER(Cek_F!M123),20,0)+IF(ISNUMBER(Cek_F!M129),20,0)+IF(ISNUMBER(Cek_F!M135),20,0))=0,"",(IF(ISNUMBER(Cek_F!M5),Cek_F!M5*5,0)+IF(ISNUMBER(Cek_F!M11),Cek_F!M11*5,0)+IF(ISNUMBER(Cek_F!M17),Cek_F!M17*5,0)+IF(ISNUMBER(Cek_F!M23),Cek_F!M23*5,0)+IF(ISNUMBER(Cek_F!M31),Cek_F!M31*5,0)+IF(ISNUMBER(Cek_F!M37),Cek_F!M37*5,0)+IF(ISNUMBER(Cek_F!M43),Cek_F!M43*5,0)+IF(ISNUMBER(Cek_F!M49),Cek_F!M49*5,0)+IF(ISNUMBER(Cek_F!M57),Cek_F!M57*6.7,0)+IF(ISNUMBER(Cek_F!M63),Cek_F!M63*6.7,0)+IF(ISNUMBER(Cek_F!M69),Cek_F!M69*6.6,0)+IF(ISNUMBER(Cek_F!M77),Cek_F!M77*10,0)+IF(ISNUMBER(Cek_F!M83),Cek_F!M83*10,0)+IF(ISNUMBER(Cek_F!M91),Cek_F!M91*6.7,0)+IF(ISNUMBER(Cek_F!M97),Cek_F!M97*6.7,0)+IF(ISNUMBER(Cek_F!M103),Cek_F!M103*6.6,0)+IF(ISNUMBER(Cek_F!M111),Cek_F!M111*20,0)+IF(ISNUMBER(Cek_F!M117),Cek_F!M117*20,0)+IF(ISNUMBER(Cek_F!M123),Cek_F!M123*20,0)+IF(ISNUMBER(Cek_F!M129),Cek_F!M129*20,0)+IF(ISNUMBER(Cek_F!M135),Cek_F!M135*20,0))/(IF(ISNUMBER(Cek_F!M5),5,0)+IF(ISNUMBER(Cek_F!M11),5,0)+IF(ISNUMBER(Cek_F!M17),5,0)+IF(ISNUMBER(Cek_F!M23),5,0)+IF(ISNUMBER(Cek_F!M31),5,0)+IF(ISNUMBER(Cek_F!M37),5,0)+IF(ISNUMBER(Cek_F!M43),5,0)+IF(ISNUMBER(Cek_F!M49),5,0)+IF(ISNUMBER(Cek_F!M57),6.7,0)+IF(ISNUMBER(Cek_F!M63),6.7,0)+IF(ISNUMBER(Cek_F!M69),6.6,0)+IF(ISNUMBER(Cek_F!M77),10,0)+IF(ISNUMBER(Cek_F!M83),10,0)+IF(ISNUMBER(Cek_F!M91),6.7,0)+IF(ISNUMBER(Cek_F!M97),6.7,0)+IF(ISNUMBER(Cek_F!M103),6.6,0)+IF(ISNUMBER(Cek_F!M111),20,0)+IF(ISNUMBER(Cek_F!M117),20,0)+IF(ISNUMBER(Cek_F!M123),20,0)+IF(ISNUMBER(Cek_F!M129),20,0)+IF(ISNUMBER(Cek_F!M135),20,0)))</f>
        <v/>
      </c>
      <c r="N10" s="9" t="str">
        <f>IF((IF(ISNUMBER(Cek_F!N5),5,0)+IF(ISNUMBER(Cek_F!N11),5,0)+IF(ISNUMBER(Cek_F!N17),5,0)+IF(ISNUMBER(Cek_F!N23),5,0)+IF(ISNUMBER(Cek_F!N31),5,0)+IF(ISNUMBER(Cek_F!N37),5,0)+IF(ISNUMBER(Cek_F!N43),5,0)+IF(ISNUMBER(Cek_F!N49),5,0)+IF(ISNUMBER(Cek_F!N57),6.7,0)+IF(ISNUMBER(Cek_F!N63),6.7,0)+IF(ISNUMBER(Cek_F!N69),6.6,0)+IF(ISNUMBER(Cek_F!N77),10,0)+IF(ISNUMBER(Cek_F!N83),10,0)+IF(ISNUMBER(Cek_F!N91),6.7,0)+IF(ISNUMBER(Cek_F!N97),6.7,0)+IF(ISNUMBER(Cek_F!N103),6.6,0)+IF(ISNUMBER(Cek_F!N111),20,0)+IF(ISNUMBER(Cek_F!N117),20,0)+IF(ISNUMBER(Cek_F!N123),20,0)+IF(ISNUMBER(Cek_F!N129),20,0)+IF(ISNUMBER(Cek_F!N135),20,0))=0,"",(IF(ISNUMBER(Cek_F!N5),Cek_F!N5*5,0)+IF(ISNUMBER(Cek_F!N11),Cek_F!N11*5,0)+IF(ISNUMBER(Cek_F!N17),Cek_F!N17*5,0)+IF(ISNUMBER(Cek_F!N23),Cek_F!N23*5,0)+IF(ISNUMBER(Cek_F!N31),Cek_F!N31*5,0)+IF(ISNUMBER(Cek_F!N37),Cek_F!N37*5,0)+IF(ISNUMBER(Cek_F!N43),Cek_F!N43*5,0)+IF(ISNUMBER(Cek_F!N49),Cek_F!N49*5,0)+IF(ISNUMBER(Cek_F!N57),Cek_F!N57*6.7,0)+IF(ISNUMBER(Cek_F!N63),Cek_F!N63*6.7,0)+IF(ISNUMBER(Cek_F!N69),Cek_F!N69*6.6,0)+IF(ISNUMBER(Cek_F!N77),Cek_F!N77*10,0)+IF(ISNUMBER(Cek_F!N83),Cek_F!N83*10,0)+IF(ISNUMBER(Cek_F!N91),Cek_F!N91*6.7,0)+IF(ISNUMBER(Cek_F!N97),Cek_F!N97*6.7,0)+IF(ISNUMBER(Cek_F!N103),Cek_F!N103*6.6,0)+IF(ISNUMBER(Cek_F!N111),Cek_F!N111*20,0)+IF(ISNUMBER(Cek_F!N117),Cek_F!N117*20,0)+IF(ISNUMBER(Cek_F!N123),Cek_F!N123*20,0)+IF(ISNUMBER(Cek_F!N129),Cek_F!N129*20,0)+IF(ISNUMBER(Cek_F!N135),Cek_F!N135*20,0))/(IF(ISNUMBER(Cek_F!N5),5,0)+IF(ISNUMBER(Cek_F!N11),5,0)+IF(ISNUMBER(Cek_F!N17),5,0)+IF(ISNUMBER(Cek_F!N23),5,0)+IF(ISNUMBER(Cek_F!N31),5,0)+IF(ISNUMBER(Cek_F!N37),5,0)+IF(ISNUMBER(Cek_F!N43),5,0)+IF(ISNUMBER(Cek_F!N49),5,0)+IF(ISNUMBER(Cek_F!N57),6.7,0)+IF(ISNUMBER(Cek_F!N63),6.7,0)+IF(ISNUMBER(Cek_F!N69),6.6,0)+IF(ISNUMBER(Cek_F!N77),10,0)+IF(ISNUMBER(Cek_F!N83),10,0)+IF(ISNUMBER(Cek_F!N91),6.7,0)+IF(ISNUMBER(Cek_F!N97),6.7,0)+IF(ISNUMBER(Cek_F!N103),6.6,0)+IF(ISNUMBER(Cek_F!N111),20,0)+IF(ISNUMBER(Cek_F!N117),20,0)+IF(ISNUMBER(Cek_F!N123),20,0)+IF(ISNUMBER(Cek_F!N129),20,0)+IF(ISNUMBER(Cek_F!N135),20,0)))</f>
        <v/>
      </c>
      <c r="O10" s="9" t="str">
        <f>IF((IF(ISNUMBER(Cek_F!O5),5,0)+IF(ISNUMBER(Cek_F!O11),5,0)+IF(ISNUMBER(Cek_F!O17),5,0)+IF(ISNUMBER(Cek_F!O23),5,0)+IF(ISNUMBER(Cek_F!O31),5,0)+IF(ISNUMBER(Cek_F!O37),5,0)+IF(ISNUMBER(Cek_F!O43),5,0)+IF(ISNUMBER(Cek_F!O49),5,0)+IF(ISNUMBER(Cek_F!O57),6.7,0)+IF(ISNUMBER(Cek_F!O63),6.7,0)+IF(ISNUMBER(Cek_F!O69),6.6,0)+IF(ISNUMBER(Cek_F!O77),10,0)+IF(ISNUMBER(Cek_F!O83),10,0)+IF(ISNUMBER(Cek_F!O91),6.7,0)+IF(ISNUMBER(Cek_F!O97),6.7,0)+IF(ISNUMBER(Cek_F!O103),6.6,0)+IF(ISNUMBER(Cek_F!O111),20,0)+IF(ISNUMBER(Cek_F!O117),20,0)+IF(ISNUMBER(Cek_F!O123),20,0)+IF(ISNUMBER(Cek_F!O129),20,0)+IF(ISNUMBER(Cek_F!O135),20,0))=0,"",(IF(ISNUMBER(Cek_F!O5),Cek_F!O5*5,0)+IF(ISNUMBER(Cek_F!O11),Cek_F!O11*5,0)+IF(ISNUMBER(Cek_F!O17),Cek_F!O17*5,0)+IF(ISNUMBER(Cek_F!O23),Cek_F!O23*5,0)+IF(ISNUMBER(Cek_F!O31),Cek_F!O31*5,0)+IF(ISNUMBER(Cek_F!O37),Cek_F!O37*5,0)+IF(ISNUMBER(Cek_F!O43),Cek_F!O43*5,0)+IF(ISNUMBER(Cek_F!O49),Cek_F!O49*5,0)+IF(ISNUMBER(Cek_F!O57),Cek_F!O57*6.7,0)+IF(ISNUMBER(Cek_F!O63),Cek_F!O63*6.7,0)+IF(ISNUMBER(Cek_F!O69),Cek_F!O69*6.6,0)+IF(ISNUMBER(Cek_F!O77),Cek_F!O77*10,0)+IF(ISNUMBER(Cek_F!O83),Cek_F!O83*10,0)+IF(ISNUMBER(Cek_F!O91),Cek_F!O91*6.7,0)+IF(ISNUMBER(Cek_F!O97),Cek_F!O97*6.7,0)+IF(ISNUMBER(Cek_F!O103),Cek_F!O103*6.6,0)+IF(ISNUMBER(Cek_F!O111),Cek_F!O111*20,0)+IF(ISNUMBER(Cek_F!O117),Cek_F!O117*20,0)+IF(ISNUMBER(Cek_F!O123),Cek_F!O123*20,0)+IF(ISNUMBER(Cek_F!O129),Cek_F!O129*20,0)+IF(ISNUMBER(Cek_F!O135),Cek_F!O135*20,0))/(IF(ISNUMBER(Cek_F!O5),5,0)+IF(ISNUMBER(Cek_F!O11),5,0)+IF(ISNUMBER(Cek_F!O17),5,0)+IF(ISNUMBER(Cek_F!O23),5,0)+IF(ISNUMBER(Cek_F!O31),5,0)+IF(ISNUMBER(Cek_F!O37),5,0)+IF(ISNUMBER(Cek_F!O43),5,0)+IF(ISNUMBER(Cek_F!O49),5,0)+IF(ISNUMBER(Cek_F!O57),6.7,0)+IF(ISNUMBER(Cek_F!O63),6.7,0)+IF(ISNUMBER(Cek_F!O69),6.6,0)+IF(ISNUMBER(Cek_F!O77),10,0)+IF(ISNUMBER(Cek_F!O83),10,0)+IF(ISNUMBER(Cek_F!O91),6.7,0)+IF(ISNUMBER(Cek_F!O97),6.7,0)+IF(ISNUMBER(Cek_F!O103),6.6,0)+IF(ISNUMBER(Cek_F!O111),20,0)+IF(ISNUMBER(Cek_F!O117),20,0)+IF(ISNUMBER(Cek_F!O123),20,0)+IF(ISNUMBER(Cek_F!O129),20,0)+IF(ISNUMBER(Cek_F!O135),20,0)))</f>
        <v/>
      </c>
      <c r="P10" s="9" t="str">
        <f>IF((IF(ISNUMBER(Cek_F!P5),5,0)+IF(ISNUMBER(Cek_F!P11),5,0)+IF(ISNUMBER(Cek_F!P17),5,0)+IF(ISNUMBER(Cek_F!P23),5,0)+IF(ISNUMBER(Cek_F!P31),5,0)+IF(ISNUMBER(Cek_F!P37),5,0)+IF(ISNUMBER(Cek_F!P43),5,0)+IF(ISNUMBER(Cek_F!P49),5,0)+IF(ISNUMBER(Cek_F!P57),6.7,0)+IF(ISNUMBER(Cek_F!P63),6.7,0)+IF(ISNUMBER(Cek_F!P69),6.6,0)+IF(ISNUMBER(Cek_F!P77),10,0)+IF(ISNUMBER(Cek_F!P83),10,0)+IF(ISNUMBER(Cek_F!P91),6.7,0)+IF(ISNUMBER(Cek_F!P97),6.7,0)+IF(ISNUMBER(Cek_F!P103),6.6,0)+IF(ISNUMBER(Cek_F!P111),20,0)+IF(ISNUMBER(Cek_F!P117),20,0)+IF(ISNUMBER(Cek_F!P123),20,0)+IF(ISNUMBER(Cek_F!P129),20,0)+IF(ISNUMBER(Cek_F!P135),20,0))=0,"",(IF(ISNUMBER(Cek_F!P5),Cek_F!P5*5,0)+IF(ISNUMBER(Cek_F!P11),Cek_F!P11*5,0)+IF(ISNUMBER(Cek_F!P17),Cek_F!P17*5,0)+IF(ISNUMBER(Cek_F!P23),Cek_F!P23*5,0)+IF(ISNUMBER(Cek_F!P31),Cek_F!P31*5,0)+IF(ISNUMBER(Cek_F!P37),Cek_F!P37*5,0)+IF(ISNUMBER(Cek_F!P43),Cek_F!P43*5,0)+IF(ISNUMBER(Cek_F!P49),Cek_F!P49*5,0)+IF(ISNUMBER(Cek_F!P57),Cek_F!P57*6.7,0)+IF(ISNUMBER(Cek_F!P63),Cek_F!P63*6.7,0)+IF(ISNUMBER(Cek_F!P69),Cek_F!P69*6.6,0)+IF(ISNUMBER(Cek_F!P77),Cek_F!P77*10,0)+IF(ISNUMBER(Cek_F!P83),Cek_F!P83*10,0)+IF(ISNUMBER(Cek_F!P91),Cek_F!P91*6.7,0)+IF(ISNUMBER(Cek_F!P97),Cek_F!P97*6.7,0)+IF(ISNUMBER(Cek_F!P103),Cek_F!P103*6.6,0)+IF(ISNUMBER(Cek_F!P111),Cek_F!P111*20,0)+IF(ISNUMBER(Cek_F!P117),Cek_F!P117*20,0)+IF(ISNUMBER(Cek_F!P123),Cek_F!P123*20,0)+IF(ISNUMBER(Cek_F!P129),Cek_F!P129*20,0)+IF(ISNUMBER(Cek_F!P135),Cek_F!P135*20,0))/(IF(ISNUMBER(Cek_F!P5),5,0)+IF(ISNUMBER(Cek_F!P11),5,0)+IF(ISNUMBER(Cek_F!P17),5,0)+IF(ISNUMBER(Cek_F!P23),5,0)+IF(ISNUMBER(Cek_F!P31),5,0)+IF(ISNUMBER(Cek_F!P37),5,0)+IF(ISNUMBER(Cek_F!P43),5,0)+IF(ISNUMBER(Cek_F!P49),5,0)+IF(ISNUMBER(Cek_F!P57),6.7,0)+IF(ISNUMBER(Cek_F!P63),6.7,0)+IF(ISNUMBER(Cek_F!P69),6.6,0)+IF(ISNUMBER(Cek_F!P77),10,0)+IF(ISNUMBER(Cek_F!P83),10,0)+IF(ISNUMBER(Cek_F!P91),6.7,0)+IF(ISNUMBER(Cek_F!P97),6.7,0)+IF(ISNUMBER(Cek_F!P103),6.6,0)+IF(ISNUMBER(Cek_F!P111),20,0)+IF(ISNUMBER(Cek_F!P117),20,0)+IF(ISNUMBER(Cek_F!P123),20,0)+IF(ISNUMBER(Cek_F!P129),20,0)+IF(ISNUMBER(Cek_F!P135),20,0)))</f>
        <v/>
      </c>
      <c r="Q10" s="9" t="str">
        <f>IF((IF(ISNUMBER(Cek_F!Q5),5,0)+IF(ISNUMBER(Cek_F!Q11),5,0)+IF(ISNUMBER(Cek_F!Q17),5,0)+IF(ISNUMBER(Cek_F!Q23),5,0)+IF(ISNUMBER(Cek_F!Q31),5,0)+IF(ISNUMBER(Cek_F!Q37),5,0)+IF(ISNUMBER(Cek_F!Q43),5,0)+IF(ISNUMBER(Cek_F!Q49),5,0)+IF(ISNUMBER(Cek_F!Q57),6.7,0)+IF(ISNUMBER(Cek_F!Q63),6.7,0)+IF(ISNUMBER(Cek_F!Q69),6.6,0)+IF(ISNUMBER(Cek_F!Q77),10,0)+IF(ISNUMBER(Cek_F!Q83),10,0)+IF(ISNUMBER(Cek_F!Q91),6.7,0)+IF(ISNUMBER(Cek_F!Q97),6.7,0)+IF(ISNUMBER(Cek_F!Q103),6.6,0)+IF(ISNUMBER(Cek_F!Q111),20,0)+IF(ISNUMBER(Cek_F!Q117),20,0)+IF(ISNUMBER(Cek_F!Q123),20,0)+IF(ISNUMBER(Cek_F!Q129),20,0)+IF(ISNUMBER(Cek_F!Q135),20,0))=0,"",(IF(ISNUMBER(Cek_F!Q5),Cek_F!Q5*5,0)+IF(ISNUMBER(Cek_F!Q11),Cek_F!Q11*5,0)+IF(ISNUMBER(Cek_F!Q17),Cek_F!Q17*5,0)+IF(ISNUMBER(Cek_F!Q23),Cek_F!Q23*5,0)+IF(ISNUMBER(Cek_F!Q31),Cek_F!Q31*5,0)+IF(ISNUMBER(Cek_F!Q37),Cek_F!Q37*5,0)+IF(ISNUMBER(Cek_F!Q43),Cek_F!Q43*5,0)+IF(ISNUMBER(Cek_F!Q49),Cek_F!Q49*5,0)+IF(ISNUMBER(Cek_F!Q57),Cek_F!Q57*6.7,0)+IF(ISNUMBER(Cek_F!Q63),Cek_F!Q63*6.7,0)+IF(ISNUMBER(Cek_F!Q69),Cek_F!Q69*6.6,0)+IF(ISNUMBER(Cek_F!Q77),Cek_F!Q77*10,0)+IF(ISNUMBER(Cek_F!Q83),Cek_F!Q83*10,0)+IF(ISNUMBER(Cek_F!Q91),Cek_F!Q91*6.7,0)+IF(ISNUMBER(Cek_F!Q97),Cek_F!Q97*6.7,0)+IF(ISNUMBER(Cek_F!Q103),Cek_F!Q103*6.6,0)+IF(ISNUMBER(Cek_F!Q111),Cek_F!Q111*20,0)+IF(ISNUMBER(Cek_F!Q117),Cek_F!Q117*20,0)+IF(ISNUMBER(Cek_F!Q123),Cek_F!Q123*20,0)+IF(ISNUMBER(Cek_F!Q129),Cek_F!Q129*20,0)+IF(ISNUMBER(Cek_F!Q135),Cek_F!Q135*20,0))/(IF(ISNUMBER(Cek_F!Q5),5,0)+IF(ISNUMBER(Cek_F!Q11),5,0)+IF(ISNUMBER(Cek_F!Q17),5,0)+IF(ISNUMBER(Cek_F!Q23),5,0)+IF(ISNUMBER(Cek_F!Q31),5,0)+IF(ISNUMBER(Cek_F!Q37),5,0)+IF(ISNUMBER(Cek_F!Q43),5,0)+IF(ISNUMBER(Cek_F!Q49),5,0)+IF(ISNUMBER(Cek_F!Q57),6.7,0)+IF(ISNUMBER(Cek_F!Q63),6.7,0)+IF(ISNUMBER(Cek_F!Q69),6.6,0)+IF(ISNUMBER(Cek_F!Q77),10,0)+IF(ISNUMBER(Cek_F!Q83),10,0)+IF(ISNUMBER(Cek_F!Q91),6.7,0)+IF(ISNUMBER(Cek_F!Q97),6.7,0)+IF(ISNUMBER(Cek_F!Q103),6.6,0)+IF(ISNUMBER(Cek_F!Q111),20,0)+IF(ISNUMBER(Cek_F!Q117),20,0)+IF(ISNUMBER(Cek_F!Q123),20,0)+IF(ISNUMBER(Cek_F!Q129),20,0)+IF(ISNUMBER(Cek_F!Q135),20,0)))</f>
        <v/>
      </c>
      <c r="R10" s="9" t="str">
        <f>IF((IF(ISNUMBER(Cek_F!R5),5,0)+IF(ISNUMBER(Cek_F!R11),5,0)+IF(ISNUMBER(Cek_F!R17),5,0)+IF(ISNUMBER(Cek_F!R23),5,0)+IF(ISNUMBER(Cek_F!R31),5,0)+IF(ISNUMBER(Cek_F!R37),5,0)+IF(ISNUMBER(Cek_F!R43),5,0)+IF(ISNUMBER(Cek_F!R49),5,0)+IF(ISNUMBER(Cek_F!R57),6.7,0)+IF(ISNUMBER(Cek_F!R63),6.7,0)+IF(ISNUMBER(Cek_F!R69),6.6,0)+IF(ISNUMBER(Cek_F!R77),10,0)+IF(ISNUMBER(Cek_F!R83),10,0)+IF(ISNUMBER(Cek_F!R91),6.7,0)+IF(ISNUMBER(Cek_F!R97),6.7,0)+IF(ISNUMBER(Cek_F!R103),6.6,0)+IF(ISNUMBER(Cek_F!R111),20,0)+IF(ISNUMBER(Cek_F!R117),20,0)+IF(ISNUMBER(Cek_F!R123),20,0)+IF(ISNUMBER(Cek_F!R129),20,0)+IF(ISNUMBER(Cek_F!R135),20,0))=0,"",(IF(ISNUMBER(Cek_F!R5),Cek_F!R5*5,0)+IF(ISNUMBER(Cek_F!R11),Cek_F!R11*5,0)+IF(ISNUMBER(Cek_F!R17),Cek_F!R17*5,0)+IF(ISNUMBER(Cek_F!R23),Cek_F!R23*5,0)+IF(ISNUMBER(Cek_F!R31),Cek_F!R31*5,0)+IF(ISNUMBER(Cek_F!R37),Cek_F!R37*5,0)+IF(ISNUMBER(Cek_F!R43),Cek_F!R43*5,0)+IF(ISNUMBER(Cek_F!R49),Cek_F!R49*5,0)+IF(ISNUMBER(Cek_F!R57),Cek_F!R57*6.7,0)+IF(ISNUMBER(Cek_F!R63),Cek_F!R63*6.7,0)+IF(ISNUMBER(Cek_F!R69),Cek_F!R69*6.6,0)+IF(ISNUMBER(Cek_F!R77),Cek_F!R77*10,0)+IF(ISNUMBER(Cek_F!R83),Cek_F!R83*10,0)+IF(ISNUMBER(Cek_F!R91),Cek_F!R91*6.7,0)+IF(ISNUMBER(Cek_F!R97),Cek_F!R97*6.7,0)+IF(ISNUMBER(Cek_F!R103),Cek_F!R103*6.6,0)+IF(ISNUMBER(Cek_F!R111),Cek_F!R111*20,0)+IF(ISNUMBER(Cek_F!R117),Cek_F!R117*20,0)+IF(ISNUMBER(Cek_F!R123),Cek_F!R123*20,0)+IF(ISNUMBER(Cek_F!R129),Cek_F!R129*20,0)+IF(ISNUMBER(Cek_F!R135),Cek_F!R135*20,0))/(IF(ISNUMBER(Cek_F!R5),5,0)+IF(ISNUMBER(Cek_F!R11),5,0)+IF(ISNUMBER(Cek_F!R17),5,0)+IF(ISNUMBER(Cek_F!R23),5,0)+IF(ISNUMBER(Cek_F!R31),5,0)+IF(ISNUMBER(Cek_F!R37),5,0)+IF(ISNUMBER(Cek_F!R43),5,0)+IF(ISNUMBER(Cek_F!R49),5,0)+IF(ISNUMBER(Cek_F!R57),6.7,0)+IF(ISNUMBER(Cek_F!R63),6.7,0)+IF(ISNUMBER(Cek_F!R69),6.6,0)+IF(ISNUMBER(Cek_F!R77),10,0)+IF(ISNUMBER(Cek_F!R83),10,0)+IF(ISNUMBER(Cek_F!R91),6.7,0)+IF(ISNUMBER(Cek_F!R97),6.7,0)+IF(ISNUMBER(Cek_F!R103),6.6,0)+IF(ISNUMBER(Cek_F!R111),20,0)+IF(ISNUMBER(Cek_F!R117),20,0)+IF(ISNUMBER(Cek_F!R123),20,0)+IF(ISNUMBER(Cek_F!R129),20,0)+IF(ISNUMBER(Cek_F!R135),20,0)))</f>
        <v/>
      </c>
      <c r="S10" s="9" t="str">
        <f>IF((IF(ISNUMBER(Cek_F!S5),5,0)+IF(ISNUMBER(Cek_F!S11),5,0)+IF(ISNUMBER(Cek_F!S17),5,0)+IF(ISNUMBER(Cek_F!S23),5,0)+IF(ISNUMBER(Cek_F!S31),5,0)+IF(ISNUMBER(Cek_F!S37),5,0)+IF(ISNUMBER(Cek_F!S43),5,0)+IF(ISNUMBER(Cek_F!S49),5,0)+IF(ISNUMBER(Cek_F!S57),6.7,0)+IF(ISNUMBER(Cek_F!S63),6.7,0)+IF(ISNUMBER(Cek_F!S69),6.6,0)+IF(ISNUMBER(Cek_F!S77),10,0)+IF(ISNUMBER(Cek_F!S83),10,0)+IF(ISNUMBER(Cek_F!S91),6.7,0)+IF(ISNUMBER(Cek_F!S97),6.7,0)+IF(ISNUMBER(Cek_F!S103),6.6,0)+IF(ISNUMBER(Cek_F!S111),20,0)+IF(ISNUMBER(Cek_F!S117),20,0)+IF(ISNUMBER(Cek_F!S123),20,0)+IF(ISNUMBER(Cek_F!S129),20,0)+IF(ISNUMBER(Cek_F!S135),20,0))=0,"",(IF(ISNUMBER(Cek_F!S5),Cek_F!S5*5,0)+IF(ISNUMBER(Cek_F!S11),Cek_F!S11*5,0)+IF(ISNUMBER(Cek_F!S17),Cek_F!S17*5,0)+IF(ISNUMBER(Cek_F!S23),Cek_F!S23*5,0)+IF(ISNUMBER(Cek_F!S31),Cek_F!S31*5,0)+IF(ISNUMBER(Cek_F!S37),Cek_F!S37*5,0)+IF(ISNUMBER(Cek_F!S43),Cek_F!S43*5,0)+IF(ISNUMBER(Cek_F!S49),Cek_F!S49*5,0)+IF(ISNUMBER(Cek_F!S57),Cek_F!S57*6.7,0)+IF(ISNUMBER(Cek_F!S63),Cek_F!S63*6.7,0)+IF(ISNUMBER(Cek_F!S69),Cek_F!S69*6.6,0)+IF(ISNUMBER(Cek_F!S77),Cek_F!S77*10,0)+IF(ISNUMBER(Cek_F!S83),Cek_F!S83*10,0)+IF(ISNUMBER(Cek_F!S91),Cek_F!S91*6.7,0)+IF(ISNUMBER(Cek_F!S97),Cek_F!S97*6.7,0)+IF(ISNUMBER(Cek_F!S103),Cek_F!S103*6.6,0)+IF(ISNUMBER(Cek_F!S111),Cek_F!S111*20,0)+IF(ISNUMBER(Cek_F!S117),Cek_F!S117*20,0)+IF(ISNUMBER(Cek_F!S123),Cek_F!S123*20,0)+IF(ISNUMBER(Cek_F!S129),Cek_F!S129*20,0)+IF(ISNUMBER(Cek_F!S135),Cek_F!S135*20,0))/(IF(ISNUMBER(Cek_F!S5),5,0)+IF(ISNUMBER(Cek_F!S11),5,0)+IF(ISNUMBER(Cek_F!S17),5,0)+IF(ISNUMBER(Cek_F!S23),5,0)+IF(ISNUMBER(Cek_F!S31),5,0)+IF(ISNUMBER(Cek_F!S37),5,0)+IF(ISNUMBER(Cek_F!S43),5,0)+IF(ISNUMBER(Cek_F!S49),5,0)+IF(ISNUMBER(Cek_F!S57),6.7,0)+IF(ISNUMBER(Cek_F!S63),6.7,0)+IF(ISNUMBER(Cek_F!S69),6.6,0)+IF(ISNUMBER(Cek_F!S77),10,0)+IF(ISNUMBER(Cek_F!S83),10,0)+IF(ISNUMBER(Cek_F!S91),6.7,0)+IF(ISNUMBER(Cek_F!S97),6.7,0)+IF(ISNUMBER(Cek_F!S103),6.6,0)+IF(ISNUMBER(Cek_F!S111),20,0)+IF(ISNUMBER(Cek_F!S117),20,0)+IF(ISNUMBER(Cek_F!S123),20,0)+IF(ISNUMBER(Cek_F!S129),20,0)+IF(ISNUMBER(Cek_F!S135),20,0)))</f>
        <v/>
      </c>
      <c r="T10" s="9" t="str">
        <f>IF((IF(ISNUMBER(Cek_F!T5),5,0)+IF(ISNUMBER(Cek_F!T11),5,0)+IF(ISNUMBER(Cek_F!T17),5,0)+IF(ISNUMBER(Cek_F!T23),5,0)+IF(ISNUMBER(Cek_F!T31),5,0)+IF(ISNUMBER(Cek_F!T37),5,0)+IF(ISNUMBER(Cek_F!T43),5,0)+IF(ISNUMBER(Cek_F!T49),5,0)+IF(ISNUMBER(Cek_F!T57),6.7,0)+IF(ISNUMBER(Cek_F!T63),6.7,0)+IF(ISNUMBER(Cek_F!T69),6.6,0)+IF(ISNUMBER(Cek_F!T77),10,0)+IF(ISNUMBER(Cek_F!T83),10,0)+IF(ISNUMBER(Cek_F!T91),6.7,0)+IF(ISNUMBER(Cek_F!T97),6.7,0)+IF(ISNUMBER(Cek_F!T103),6.6,0)+IF(ISNUMBER(Cek_F!T111),20,0)+IF(ISNUMBER(Cek_F!T117),20,0)+IF(ISNUMBER(Cek_F!T123),20,0)+IF(ISNUMBER(Cek_F!T129),20,0)+IF(ISNUMBER(Cek_F!T135),20,0))=0,"",(IF(ISNUMBER(Cek_F!T5),Cek_F!T5*5,0)+IF(ISNUMBER(Cek_F!T11),Cek_F!T11*5,0)+IF(ISNUMBER(Cek_F!T17),Cek_F!T17*5,0)+IF(ISNUMBER(Cek_F!T23),Cek_F!T23*5,0)+IF(ISNUMBER(Cek_F!T31),Cek_F!T31*5,0)+IF(ISNUMBER(Cek_F!T37),Cek_F!T37*5,0)+IF(ISNUMBER(Cek_F!T43),Cek_F!T43*5,0)+IF(ISNUMBER(Cek_F!T49),Cek_F!T49*5,0)+IF(ISNUMBER(Cek_F!T57),Cek_F!T57*6.7,0)+IF(ISNUMBER(Cek_F!T63),Cek_F!T63*6.7,0)+IF(ISNUMBER(Cek_F!T69),Cek_F!T69*6.6,0)+IF(ISNUMBER(Cek_F!T77),Cek_F!T77*10,0)+IF(ISNUMBER(Cek_F!T83),Cek_F!T83*10,0)+IF(ISNUMBER(Cek_F!T91),Cek_F!T91*6.7,0)+IF(ISNUMBER(Cek_F!T97),Cek_F!T97*6.7,0)+IF(ISNUMBER(Cek_F!T103),Cek_F!T103*6.6,0)+IF(ISNUMBER(Cek_F!T111),Cek_F!T111*20,0)+IF(ISNUMBER(Cek_F!T117),Cek_F!T117*20,0)+IF(ISNUMBER(Cek_F!T123),Cek_F!T123*20,0)+IF(ISNUMBER(Cek_F!T129),Cek_F!T129*20,0)+IF(ISNUMBER(Cek_F!T135),Cek_F!T135*20,0))/(IF(ISNUMBER(Cek_F!T5),5,0)+IF(ISNUMBER(Cek_F!T11),5,0)+IF(ISNUMBER(Cek_F!T17),5,0)+IF(ISNUMBER(Cek_F!T23),5,0)+IF(ISNUMBER(Cek_F!T31),5,0)+IF(ISNUMBER(Cek_F!T37),5,0)+IF(ISNUMBER(Cek_F!T43),5,0)+IF(ISNUMBER(Cek_F!T49),5,0)+IF(ISNUMBER(Cek_F!T57),6.7,0)+IF(ISNUMBER(Cek_F!T63),6.7,0)+IF(ISNUMBER(Cek_F!T69),6.6,0)+IF(ISNUMBER(Cek_F!T77),10,0)+IF(ISNUMBER(Cek_F!T83),10,0)+IF(ISNUMBER(Cek_F!T91),6.7,0)+IF(ISNUMBER(Cek_F!T97),6.7,0)+IF(ISNUMBER(Cek_F!T103),6.6,0)+IF(ISNUMBER(Cek_F!T111),20,0)+IF(ISNUMBER(Cek_F!T117),20,0)+IF(ISNUMBER(Cek_F!T123),20,0)+IF(ISNUMBER(Cek_F!T129),20,0)+IF(ISNUMBER(Cek_F!T135),20,0)))</f>
        <v/>
      </c>
      <c r="U10" s="9" t="str">
        <f>IF((IF(ISNUMBER(Cek_F!U5),5,0)+IF(ISNUMBER(Cek_F!U11),5,0)+IF(ISNUMBER(Cek_F!U17),5,0)+IF(ISNUMBER(Cek_F!U23),5,0)+IF(ISNUMBER(Cek_F!U31),5,0)+IF(ISNUMBER(Cek_F!U37),5,0)+IF(ISNUMBER(Cek_F!U43),5,0)+IF(ISNUMBER(Cek_F!U49),5,0)+IF(ISNUMBER(Cek_F!U57),6.7,0)+IF(ISNUMBER(Cek_F!U63),6.7,0)+IF(ISNUMBER(Cek_F!U69),6.6,0)+IF(ISNUMBER(Cek_F!U77),10,0)+IF(ISNUMBER(Cek_F!U83),10,0)+IF(ISNUMBER(Cek_F!U91),6.7,0)+IF(ISNUMBER(Cek_F!U97),6.7,0)+IF(ISNUMBER(Cek_F!U103),6.6,0)+IF(ISNUMBER(Cek_F!U111),20,0)+IF(ISNUMBER(Cek_F!U117),20,0)+IF(ISNUMBER(Cek_F!U123),20,0)+IF(ISNUMBER(Cek_F!U129),20,0)+IF(ISNUMBER(Cek_F!U135),20,0))=0,"",(IF(ISNUMBER(Cek_F!U5),Cek_F!U5*5,0)+IF(ISNUMBER(Cek_F!U11),Cek_F!U11*5,0)+IF(ISNUMBER(Cek_F!U17),Cek_F!U17*5,0)+IF(ISNUMBER(Cek_F!U23),Cek_F!U23*5,0)+IF(ISNUMBER(Cek_F!U31),Cek_F!U31*5,0)+IF(ISNUMBER(Cek_F!U37),Cek_F!U37*5,0)+IF(ISNUMBER(Cek_F!U43),Cek_F!U43*5,0)+IF(ISNUMBER(Cek_F!U49),Cek_F!U49*5,0)+IF(ISNUMBER(Cek_F!U57),Cek_F!U57*6.7,0)+IF(ISNUMBER(Cek_F!U63),Cek_F!U63*6.7,0)+IF(ISNUMBER(Cek_F!U69),Cek_F!U69*6.6,0)+IF(ISNUMBER(Cek_F!U77),Cek_F!U77*10,0)+IF(ISNUMBER(Cek_F!U83),Cek_F!U83*10,0)+IF(ISNUMBER(Cek_F!U91),Cek_F!U91*6.7,0)+IF(ISNUMBER(Cek_F!U97),Cek_F!U97*6.7,0)+IF(ISNUMBER(Cek_F!U103),Cek_F!U103*6.6,0)+IF(ISNUMBER(Cek_F!U111),Cek_F!U111*20,0)+IF(ISNUMBER(Cek_F!U117),Cek_F!U117*20,0)+IF(ISNUMBER(Cek_F!U123),Cek_F!U123*20,0)+IF(ISNUMBER(Cek_F!U129),Cek_F!U129*20,0)+IF(ISNUMBER(Cek_F!U135),Cek_F!U135*20,0))/(IF(ISNUMBER(Cek_F!U5),5,0)+IF(ISNUMBER(Cek_F!U11),5,0)+IF(ISNUMBER(Cek_F!U17),5,0)+IF(ISNUMBER(Cek_F!U23),5,0)+IF(ISNUMBER(Cek_F!U31),5,0)+IF(ISNUMBER(Cek_F!U37),5,0)+IF(ISNUMBER(Cek_F!U43),5,0)+IF(ISNUMBER(Cek_F!U49),5,0)+IF(ISNUMBER(Cek_F!U57),6.7,0)+IF(ISNUMBER(Cek_F!U63),6.7,0)+IF(ISNUMBER(Cek_F!U69),6.6,0)+IF(ISNUMBER(Cek_F!U77),10,0)+IF(ISNUMBER(Cek_F!U83),10,0)+IF(ISNUMBER(Cek_F!U91),6.7,0)+IF(ISNUMBER(Cek_F!U97),6.7,0)+IF(ISNUMBER(Cek_F!U103),6.6,0)+IF(ISNUMBER(Cek_F!U111),20,0)+IF(ISNUMBER(Cek_F!U117),20,0)+IF(ISNUMBER(Cek_F!U123),20,0)+IF(ISNUMBER(Cek_F!U129),20,0)+IF(ISNUMBER(Cek_F!U135),20,0)))</f>
        <v/>
      </c>
      <c r="V10" s="9" t="str">
        <f>IF((IF(ISNUMBER(Cek_F!V5),5,0)+IF(ISNUMBER(Cek_F!V11),5,0)+IF(ISNUMBER(Cek_F!V17),5,0)+IF(ISNUMBER(Cek_F!V23),5,0)+IF(ISNUMBER(Cek_F!V31),5,0)+IF(ISNUMBER(Cek_F!V37),5,0)+IF(ISNUMBER(Cek_F!V43),5,0)+IF(ISNUMBER(Cek_F!V49),5,0)+IF(ISNUMBER(Cek_F!V57),6.7,0)+IF(ISNUMBER(Cek_F!V63),6.7,0)+IF(ISNUMBER(Cek_F!V69),6.6,0)+IF(ISNUMBER(Cek_F!V77),10,0)+IF(ISNUMBER(Cek_F!V83),10,0)+IF(ISNUMBER(Cek_F!V91),6.7,0)+IF(ISNUMBER(Cek_F!V97),6.7,0)+IF(ISNUMBER(Cek_F!V103),6.6,0)+IF(ISNUMBER(Cek_F!V111),20,0)+IF(ISNUMBER(Cek_F!V117),20,0)+IF(ISNUMBER(Cek_F!V123),20,0)+IF(ISNUMBER(Cek_F!V129),20,0)+IF(ISNUMBER(Cek_F!V135),20,0))=0,"",(IF(ISNUMBER(Cek_F!V5),Cek_F!V5*5,0)+IF(ISNUMBER(Cek_F!V11),Cek_F!V11*5,0)+IF(ISNUMBER(Cek_F!V17),Cek_F!V17*5,0)+IF(ISNUMBER(Cek_F!V23),Cek_F!V23*5,0)+IF(ISNUMBER(Cek_F!V31),Cek_F!V31*5,0)+IF(ISNUMBER(Cek_F!V37),Cek_F!V37*5,0)+IF(ISNUMBER(Cek_F!V43),Cek_F!V43*5,0)+IF(ISNUMBER(Cek_F!V49),Cek_F!V49*5,0)+IF(ISNUMBER(Cek_F!V57),Cek_F!V57*6.7,0)+IF(ISNUMBER(Cek_F!V63),Cek_F!V63*6.7,0)+IF(ISNUMBER(Cek_F!V69),Cek_F!V69*6.6,0)+IF(ISNUMBER(Cek_F!V77),Cek_F!V77*10,0)+IF(ISNUMBER(Cek_F!V83),Cek_F!V83*10,0)+IF(ISNUMBER(Cek_F!V91),Cek_F!V91*6.7,0)+IF(ISNUMBER(Cek_F!V97),Cek_F!V97*6.7,0)+IF(ISNUMBER(Cek_F!V103),Cek_F!V103*6.6,0)+IF(ISNUMBER(Cek_F!V111),Cek_F!V111*20,0)+IF(ISNUMBER(Cek_F!V117),Cek_F!V117*20,0)+IF(ISNUMBER(Cek_F!V123),Cek_F!V123*20,0)+IF(ISNUMBER(Cek_F!V129),Cek_F!V129*20,0)+IF(ISNUMBER(Cek_F!V135),Cek_F!V135*20,0))/(IF(ISNUMBER(Cek_F!V5),5,0)+IF(ISNUMBER(Cek_F!V11),5,0)+IF(ISNUMBER(Cek_F!V17),5,0)+IF(ISNUMBER(Cek_F!V23),5,0)+IF(ISNUMBER(Cek_F!V31),5,0)+IF(ISNUMBER(Cek_F!V37),5,0)+IF(ISNUMBER(Cek_F!V43),5,0)+IF(ISNUMBER(Cek_F!V49),5,0)+IF(ISNUMBER(Cek_F!V57),6.7,0)+IF(ISNUMBER(Cek_F!V63),6.7,0)+IF(ISNUMBER(Cek_F!V69),6.6,0)+IF(ISNUMBER(Cek_F!V77),10,0)+IF(ISNUMBER(Cek_F!V83),10,0)+IF(ISNUMBER(Cek_F!V91),6.7,0)+IF(ISNUMBER(Cek_F!V97),6.7,0)+IF(ISNUMBER(Cek_F!V103),6.6,0)+IF(ISNUMBER(Cek_F!V111),20,0)+IF(ISNUMBER(Cek_F!V117),20,0)+IF(ISNUMBER(Cek_F!V123),20,0)+IF(ISNUMBER(Cek_F!V129),20,0)+IF(ISNUMBER(Cek_F!V135),20,0)))</f>
        <v/>
      </c>
      <c r="W10" s="9" t="str">
        <f>IF((IF(ISNUMBER(Cek_F!W5),5,0)+IF(ISNUMBER(Cek_F!W11),5,0)+IF(ISNUMBER(Cek_F!W17),5,0)+IF(ISNUMBER(Cek_F!W23),5,0)+IF(ISNUMBER(Cek_F!W31),5,0)+IF(ISNUMBER(Cek_F!W37),5,0)+IF(ISNUMBER(Cek_F!W43),5,0)+IF(ISNUMBER(Cek_F!W49),5,0)+IF(ISNUMBER(Cek_F!W57),6.7,0)+IF(ISNUMBER(Cek_F!W63),6.7,0)+IF(ISNUMBER(Cek_F!W69),6.6,0)+IF(ISNUMBER(Cek_F!W77),10,0)+IF(ISNUMBER(Cek_F!W83),10,0)+IF(ISNUMBER(Cek_F!W91),6.7,0)+IF(ISNUMBER(Cek_F!W97),6.7,0)+IF(ISNUMBER(Cek_F!W103),6.6,0)+IF(ISNUMBER(Cek_F!W111),20,0)+IF(ISNUMBER(Cek_F!W117),20,0)+IF(ISNUMBER(Cek_F!W123),20,0)+IF(ISNUMBER(Cek_F!W129),20,0)+IF(ISNUMBER(Cek_F!W135),20,0))=0,"",(IF(ISNUMBER(Cek_F!W5),Cek_F!W5*5,0)+IF(ISNUMBER(Cek_F!W11),Cek_F!W11*5,0)+IF(ISNUMBER(Cek_F!W17),Cek_F!W17*5,0)+IF(ISNUMBER(Cek_F!W23),Cek_F!W23*5,0)+IF(ISNUMBER(Cek_F!W31),Cek_F!W31*5,0)+IF(ISNUMBER(Cek_F!W37),Cek_F!W37*5,0)+IF(ISNUMBER(Cek_F!W43),Cek_F!W43*5,0)+IF(ISNUMBER(Cek_F!W49),Cek_F!W49*5,0)+IF(ISNUMBER(Cek_F!W57),Cek_F!W57*6.7,0)+IF(ISNUMBER(Cek_F!W63),Cek_F!W63*6.7,0)+IF(ISNUMBER(Cek_F!W69),Cek_F!W69*6.6,0)+IF(ISNUMBER(Cek_F!W77),Cek_F!W77*10,0)+IF(ISNUMBER(Cek_F!W83),Cek_F!W83*10,0)+IF(ISNUMBER(Cek_F!W91),Cek_F!W91*6.7,0)+IF(ISNUMBER(Cek_F!W97),Cek_F!W97*6.7,0)+IF(ISNUMBER(Cek_F!W103),Cek_F!W103*6.6,0)+IF(ISNUMBER(Cek_F!W111),Cek_F!W111*20,0)+IF(ISNUMBER(Cek_F!W117),Cek_F!W117*20,0)+IF(ISNUMBER(Cek_F!W123),Cek_F!W123*20,0)+IF(ISNUMBER(Cek_F!W129),Cek_F!W129*20,0)+IF(ISNUMBER(Cek_F!W135),Cek_F!W135*20,0))/(IF(ISNUMBER(Cek_F!W5),5,0)+IF(ISNUMBER(Cek_F!W11),5,0)+IF(ISNUMBER(Cek_F!W17),5,0)+IF(ISNUMBER(Cek_F!W23),5,0)+IF(ISNUMBER(Cek_F!W31),5,0)+IF(ISNUMBER(Cek_F!W37),5,0)+IF(ISNUMBER(Cek_F!W43),5,0)+IF(ISNUMBER(Cek_F!W49),5,0)+IF(ISNUMBER(Cek_F!W57),6.7,0)+IF(ISNUMBER(Cek_F!W63),6.7,0)+IF(ISNUMBER(Cek_F!W69),6.6,0)+IF(ISNUMBER(Cek_F!W77),10,0)+IF(ISNUMBER(Cek_F!W83),10,0)+IF(ISNUMBER(Cek_F!W91),6.7,0)+IF(ISNUMBER(Cek_F!W97),6.7,0)+IF(ISNUMBER(Cek_F!W103),6.6,0)+IF(ISNUMBER(Cek_F!W111),20,0)+IF(ISNUMBER(Cek_F!W117),20,0)+IF(ISNUMBER(Cek_F!W123),20,0)+IF(ISNUMBER(Cek_F!W129),20,0)+IF(ISNUMBER(Cek_F!W135),20,0)))</f>
        <v/>
      </c>
      <c r="X10" s="9" t="str">
        <f>IF((IF(ISNUMBER(Cek_F!X5),5,0)+IF(ISNUMBER(Cek_F!X11),5,0)+IF(ISNUMBER(Cek_F!X17),5,0)+IF(ISNUMBER(Cek_F!X23),5,0)+IF(ISNUMBER(Cek_F!X31),5,0)+IF(ISNUMBER(Cek_F!X37),5,0)+IF(ISNUMBER(Cek_F!X43),5,0)+IF(ISNUMBER(Cek_F!X49),5,0)+IF(ISNUMBER(Cek_F!X57),6.7,0)+IF(ISNUMBER(Cek_F!X63),6.7,0)+IF(ISNUMBER(Cek_F!X69),6.6,0)+IF(ISNUMBER(Cek_F!X77),10,0)+IF(ISNUMBER(Cek_F!X83),10,0)+IF(ISNUMBER(Cek_F!X91),6.7,0)+IF(ISNUMBER(Cek_F!X97),6.7,0)+IF(ISNUMBER(Cek_F!X103),6.6,0)+IF(ISNUMBER(Cek_F!X111),20,0)+IF(ISNUMBER(Cek_F!X117),20,0)+IF(ISNUMBER(Cek_F!X123),20,0)+IF(ISNUMBER(Cek_F!X129),20,0)+IF(ISNUMBER(Cek_F!X135),20,0))=0,"",(IF(ISNUMBER(Cek_F!X5),Cek_F!X5*5,0)+IF(ISNUMBER(Cek_F!X11),Cek_F!X11*5,0)+IF(ISNUMBER(Cek_F!X17),Cek_F!X17*5,0)+IF(ISNUMBER(Cek_F!X23),Cek_F!X23*5,0)+IF(ISNUMBER(Cek_F!X31),Cek_F!X31*5,0)+IF(ISNUMBER(Cek_F!X37),Cek_F!X37*5,0)+IF(ISNUMBER(Cek_F!X43),Cek_F!X43*5,0)+IF(ISNUMBER(Cek_F!X49),Cek_F!X49*5,0)+IF(ISNUMBER(Cek_F!X57),Cek_F!X57*6.7,0)+IF(ISNUMBER(Cek_F!X63),Cek_F!X63*6.7,0)+IF(ISNUMBER(Cek_F!X69),Cek_F!X69*6.6,0)+IF(ISNUMBER(Cek_F!X77),Cek_F!X77*10,0)+IF(ISNUMBER(Cek_F!X83),Cek_F!X83*10,0)+IF(ISNUMBER(Cek_F!X91),Cek_F!X91*6.7,0)+IF(ISNUMBER(Cek_F!X97),Cek_F!X97*6.7,0)+IF(ISNUMBER(Cek_F!X103),Cek_F!X103*6.6,0)+IF(ISNUMBER(Cek_F!X111),Cek_F!X111*20,0)+IF(ISNUMBER(Cek_F!X117),Cek_F!X117*20,0)+IF(ISNUMBER(Cek_F!X123),Cek_F!X123*20,0)+IF(ISNUMBER(Cek_F!X129),Cek_F!X129*20,0)+IF(ISNUMBER(Cek_F!X135),Cek_F!X135*20,0))/(IF(ISNUMBER(Cek_F!X5),5,0)+IF(ISNUMBER(Cek_F!X11),5,0)+IF(ISNUMBER(Cek_F!X17),5,0)+IF(ISNUMBER(Cek_F!X23),5,0)+IF(ISNUMBER(Cek_F!X31),5,0)+IF(ISNUMBER(Cek_F!X37),5,0)+IF(ISNUMBER(Cek_F!X43),5,0)+IF(ISNUMBER(Cek_F!X49),5,0)+IF(ISNUMBER(Cek_F!X57),6.7,0)+IF(ISNUMBER(Cek_F!X63),6.7,0)+IF(ISNUMBER(Cek_F!X69),6.6,0)+IF(ISNUMBER(Cek_F!X77),10,0)+IF(ISNUMBER(Cek_F!X83),10,0)+IF(ISNUMBER(Cek_F!X91),6.7,0)+IF(ISNUMBER(Cek_F!X97),6.7,0)+IF(ISNUMBER(Cek_F!X103),6.6,0)+IF(ISNUMBER(Cek_F!X111),20,0)+IF(ISNUMBER(Cek_F!X117),20,0)+IF(ISNUMBER(Cek_F!X123),20,0)+IF(ISNUMBER(Cek_F!X129),20,0)+IF(ISNUMBER(Cek_F!X135),20,0)))</f>
        <v/>
      </c>
      <c r="Y10" s="9" t="str">
        <f>IF((IF(ISNUMBER(Cek_F!Y5),5,0)+IF(ISNUMBER(Cek_F!Y11),5,0)+IF(ISNUMBER(Cek_F!Y17),5,0)+IF(ISNUMBER(Cek_F!Y23),5,0)+IF(ISNUMBER(Cek_F!Y31),5,0)+IF(ISNUMBER(Cek_F!Y37),5,0)+IF(ISNUMBER(Cek_F!Y43),5,0)+IF(ISNUMBER(Cek_F!Y49),5,0)+IF(ISNUMBER(Cek_F!Y57),6.7,0)+IF(ISNUMBER(Cek_F!Y63),6.7,0)+IF(ISNUMBER(Cek_F!Y69),6.6,0)+IF(ISNUMBER(Cek_F!Y77),10,0)+IF(ISNUMBER(Cek_F!Y83),10,0)+IF(ISNUMBER(Cek_F!Y91),6.7,0)+IF(ISNUMBER(Cek_F!Y97),6.7,0)+IF(ISNUMBER(Cek_F!Y103),6.6,0)+IF(ISNUMBER(Cek_F!Y111),20,0)+IF(ISNUMBER(Cek_F!Y117),20,0)+IF(ISNUMBER(Cek_F!Y123),20,0)+IF(ISNUMBER(Cek_F!Y129),20,0)+IF(ISNUMBER(Cek_F!Y135),20,0))=0,"",(IF(ISNUMBER(Cek_F!Y5),Cek_F!Y5*5,0)+IF(ISNUMBER(Cek_F!Y11),Cek_F!Y11*5,0)+IF(ISNUMBER(Cek_F!Y17),Cek_F!Y17*5,0)+IF(ISNUMBER(Cek_F!Y23),Cek_F!Y23*5,0)+IF(ISNUMBER(Cek_F!Y31),Cek_F!Y31*5,0)+IF(ISNUMBER(Cek_F!Y37),Cek_F!Y37*5,0)+IF(ISNUMBER(Cek_F!Y43),Cek_F!Y43*5,0)+IF(ISNUMBER(Cek_F!Y49),Cek_F!Y49*5,0)+IF(ISNUMBER(Cek_F!Y57),Cek_F!Y57*6.7,0)+IF(ISNUMBER(Cek_F!Y63),Cek_F!Y63*6.7,0)+IF(ISNUMBER(Cek_F!Y69),Cek_F!Y69*6.6,0)+IF(ISNUMBER(Cek_F!Y77),Cek_F!Y77*10,0)+IF(ISNUMBER(Cek_F!Y83),Cek_F!Y83*10,0)+IF(ISNUMBER(Cek_F!Y91),Cek_F!Y91*6.7,0)+IF(ISNUMBER(Cek_F!Y97),Cek_F!Y97*6.7,0)+IF(ISNUMBER(Cek_F!Y103),Cek_F!Y103*6.6,0)+IF(ISNUMBER(Cek_F!Y111),Cek_F!Y111*20,0)+IF(ISNUMBER(Cek_F!Y117),Cek_F!Y117*20,0)+IF(ISNUMBER(Cek_F!Y123),Cek_F!Y123*20,0)+IF(ISNUMBER(Cek_F!Y129),Cek_F!Y129*20,0)+IF(ISNUMBER(Cek_F!Y135),Cek_F!Y135*20,0))/(IF(ISNUMBER(Cek_F!Y5),5,0)+IF(ISNUMBER(Cek_F!Y11),5,0)+IF(ISNUMBER(Cek_F!Y17),5,0)+IF(ISNUMBER(Cek_F!Y23),5,0)+IF(ISNUMBER(Cek_F!Y31),5,0)+IF(ISNUMBER(Cek_F!Y37),5,0)+IF(ISNUMBER(Cek_F!Y43),5,0)+IF(ISNUMBER(Cek_F!Y49),5,0)+IF(ISNUMBER(Cek_F!Y57),6.7,0)+IF(ISNUMBER(Cek_F!Y63),6.7,0)+IF(ISNUMBER(Cek_F!Y69),6.6,0)+IF(ISNUMBER(Cek_F!Y77),10,0)+IF(ISNUMBER(Cek_F!Y83),10,0)+IF(ISNUMBER(Cek_F!Y91),6.7,0)+IF(ISNUMBER(Cek_F!Y97),6.7,0)+IF(ISNUMBER(Cek_F!Y103),6.6,0)+IF(ISNUMBER(Cek_F!Y111),20,0)+IF(ISNUMBER(Cek_F!Y117),20,0)+IF(ISNUMBER(Cek_F!Y123),20,0)+IF(ISNUMBER(Cek_F!Y129),20,0)+IF(ISNUMBER(Cek_F!Y135),20,0)))</f>
        <v/>
      </c>
      <c r="Z10" s="9" t="str">
        <f>_xlfn.IFERROR(AVERAGE(E10:Y10),"")</f>
        <v/>
      </c>
    </row>
  </sheetData>
  <mergeCells count="1">
    <mergeCell ref="A1:Z1"/>
  </mergeCells>
  <conditionalFormatting sqref="E8:Y8">
    <cfRule type="colorScale" priority="5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10:Y10">
    <cfRule type="colorScale" priority="7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7:Y7">
    <cfRule type="colorScale" priority="4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4:Y4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9:Y9">
    <cfRule type="colorScale" priority="6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6:Y6">
    <cfRule type="colorScale" priority="3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5:Y5">
    <cfRule type="colorScale" priority="2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pageMargins left="0.75" right="0.75" top="1.0" bottom="1.0" header="0.5" footer="0.5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A8"/>
  <sheetViews>
    <sheetView workbookViewId="0" showGridLines="0" zoomScale="90">
      <pane xSplit="4" ySplit="3" topLeftCell="E4" state="frozen" activePane="bottomRight"/>
      <selection pane="bottomRight" activeCell="A1" sqref="A1:Z1"/>
    </sheetView>
  </sheetViews>
  <sheetFormatPr defaultRowHeight="15.0" defaultColWidth="10"/>
  <cols>
    <col min="1" max="1" customWidth="1" width="4.5" style="0"/>
    <col min="2" max="2" customWidth="1" width="9.0" style="0"/>
    <col min="3" max="3" customWidth="1" width="22.0" style="0"/>
    <col min="4" max="4" customWidth="1" width="9.0" style="0"/>
    <col min="5" max="5" customWidth="1" width="8.296875" style="0"/>
    <col min="6" max="6" customWidth="1" width="8.296875" style="0"/>
    <col min="7" max="7" customWidth="1" width="8.296875" style="0"/>
    <col min="8" max="8" customWidth="1" width="8.296875" style="0"/>
    <col min="9" max="9" customWidth="1" width="8.296875" style="0"/>
    <col min="10" max="10" customWidth="1" width="8.296875" style="0"/>
    <col min="11" max="11" customWidth="1" width="8.296875" style="0"/>
    <col min="12" max="12" customWidth="1" width="8.296875" style="0"/>
    <col min="13" max="13" customWidth="1" width="8.296875" style="0"/>
    <col min="14" max="14" customWidth="1" width="8.296875" style="0"/>
    <col min="15" max="15" customWidth="1" width="8.296875" style="0"/>
    <col min="16" max="16" customWidth="1" width="8.296875" style="0"/>
    <col min="17" max="17" customWidth="1" width="8.296875" style="0"/>
    <col min="18" max="18" customWidth="1" width="8.296875" style="0"/>
    <col min="19" max="19" customWidth="1" width="8.296875" style="0"/>
    <col min="20" max="20" customWidth="1" width="8.296875" style="0"/>
    <col min="21" max="21" customWidth="1" width="8.296875" style="0"/>
    <col min="22" max="22" customWidth="1" width="8.296875" style="0"/>
    <col min="23" max="23" customWidth="1" width="8.296875" style="0"/>
    <col min="24" max="24" customWidth="1" width="8.296875" style="0"/>
    <col min="25" max="25" customWidth="1" width="8.296875" style="0"/>
    <col min="26" max="26" customWidth="1" width="10.5" style="0"/>
  </cols>
  <sheetData>
    <row r="1" spans="8:8" ht="26.0" customHeight="1">
      <c r="A1" s="1" t="s">
        <v>1333</v>
      </c>
    </row>
    <row r="3" spans="8:8" ht="30.0" customHeight="1">
      <c r="A3" s="6" t="s">
        <v>31</v>
      </c>
      <c r="B3" s="6" t="s">
        <v>23</v>
      </c>
      <c r="C3" s="6" t="s">
        <v>1334</v>
      </c>
      <c r="D3" s="6"/>
      <c r="E3" s="27" t="s">
        <v>34</v>
      </c>
      <c r="F3" s="27" t="s">
        <v>35</v>
      </c>
      <c r="G3" s="27" t="s">
        <v>36</v>
      </c>
      <c r="H3" s="27" t="s">
        <v>37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42</v>
      </c>
      <c r="N3" s="27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7" t="s">
        <v>48</v>
      </c>
      <c r="T3" s="27" t="s">
        <v>49</v>
      </c>
      <c r="U3" s="27" t="s">
        <v>50</v>
      </c>
      <c r="V3" s="27" t="s">
        <v>51</v>
      </c>
      <c r="W3" s="27" t="s">
        <v>52</v>
      </c>
      <c r="X3" s="27" t="s">
        <v>53</v>
      </c>
      <c r="Y3" s="27" t="s">
        <v>54</v>
      </c>
      <c r="Z3" s="6" t="s">
        <v>55</v>
      </c>
    </row>
    <row r="4" spans="8:8" ht="20.0" customHeight="1">
      <c r="A4" s="7">
        <v>1.0</v>
      </c>
      <c r="B4" s="42" t="s">
        <v>1335</v>
      </c>
      <c r="C4" s="43" t="s">
        <v>1336</v>
      </c>
      <c r="D4" s="32"/>
      <c r="E4" s="44" t="str">
        <f>IF((IF(ISNUMBER(Skor_Dimensi!E4),Parameter!$C$4,0)+IF(ISNUMBER(Skor_Dimensi!E5),Parameter!$C$5,0)+IF(ISNUMBER(Skor_Dimensi!E6),Parameter!$C$6,0)+IF(ISNUMBER(Skor_Dimensi!E7),Parameter!$C$7,0)+IF(ISNUMBER(Skor_Dimensi!E8),Parameter!$C$8,0))=0,"",(IF(ISNUMBER(Skor_Dimensi!E4),Skor_Dimensi!E4*Parameter!$C$4,0)+IF(ISNUMBER(Skor_Dimensi!E5),Skor_Dimensi!E5*Parameter!$C$5,0)+IF(ISNUMBER(Skor_Dimensi!E6),Skor_Dimensi!E6*Parameter!$C$6,0)+IF(ISNUMBER(Skor_Dimensi!E7),Skor_Dimensi!E7*Parameter!$C$7,0)+IF(ISNUMBER(Skor_Dimensi!E8),Skor_Dimensi!E8*Parameter!$C$8,0))/(IF(ISNUMBER(Skor_Dimensi!E4),Parameter!$C$4,0)+IF(ISNUMBER(Skor_Dimensi!E5),Parameter!$C$5,0)+IF(ISNUMBER(Skor_Dimensi!E6),Parameter!$C$6,0)+IF(ISNUMBER(Skor_Dimensi!E7),Parameter!$C$7,0)+IF(ISNUMBER(Skor_Dimensi!E8),Parameter!$C$8,0)))</f>
        <v/>
      </c>
      <c r="F4" s="44" t="str">
        <f>IF((IF(ISNUMBER(Skor_Dimensi!F4),Parameter!$C$4,0)+IF(ISNUMBER(Skor_Dimensi!F5),Parameter!$C$5,0)+IF(ISNUMBER(Skor_Dimensi!F6),Parameter!$C$6,0)+IF(ISNUMBER(Skor_Dimensi!F7),Parameter!$C$7,0)+IF(ISNUMBER(Skor_Dimensi!F8),Parameter!$C$8,0))=0,"",(IF(ISNUMBER(Skor_Dimensi!F4),Skor_Dimensi!F4*Parameter!$C$4,0)+IF(ISNUMBER(Skor_Dimensi!F5),Skor_Dimensi!F5*Parameter!$C$5,0)+IF(ISNUMBER(Skor_Dimensi!F6),Skor_Dimensi!F6*Parameter!$C$6,0)+IF(ISNUMBER(Skor_Dimensi!F7),Skor_Dimensi!F7*Parameter!$C$7,0)+IF(ISNUMBER(Skor_Dimensi!F8),Skor_Dimensi!F8*Parameter!$C$8,0))/(IF(ISNUMBER(Skor_Dimensi!F4),Parameter!$C$4,0)+IF(ISNUMBER(Skor_Dimensi!F5),Parameter!$C$5,0)+IF(ISNUMBER(Skor_Dimensi!F6),Parameter!$C$6,0)+IF(ISNUMBER(Skor_Dimensi!F7),Parameter!$C$7,0)+IF(ISNUMBER(Skor_Dimensi!F8),Parameter!$C$8,0)))</f>
        <v/>
      </c>
      <c r="G4" s="44" t="str">
        <f>IF((IF(ISNUMBER(Skor_Dimensi!G4),Parameter!$C$4,0)+IF(ISNUMBER(Skor_Dimensi!G5),Parameter!$C$5,0)+IF(ISNUMBER(Skor_Dimensi!G6),Parameter!$C$6,0)+IF(ISNUMBER(Skor_Dimensi!G7),Parameter!$C$7,0)+IF(ISNUMBER(Skor_Dimensi!G8),Parameter!$C$8,0))=0,"",(IF(ISNUMBER(Skor_Dimensi!G4),Skor_Dimensi!G4*Parameter!$C$4,0)+IF(ISNUMBER(Skor_Dimensi!G5),Skor_Dimensi!G5*Parameter!$C$5,0)+IF(ISNUMBER(Skor_Dimensi!G6),Skor_Dimensi!G6*Parameter!$C$6,0)+IF(ISNUMBER(Skor_Dimensi!G7),Skor_Dimensi!G7*Parameter!$C$7,0)+IF(ISNUMBER(Skor_Dimensi!G8),Skor_Dimensi!G8*Parameter!$C$8,0))/(IF(ISNUMBER(Skor_Dimensi!G4),Parameter!$C$4,0)+IF(ISNUMBER(Skor_Dimensi!G5),Parameter!$C$5,0)+IF(ISNUMBER(Skor_Dimensi!G6),Parameter!$C$6,0)+IF(ISNUMBER(Skor_Dimensi!G7),Parameter!$C$7,0)+IF(ISNUMBER(Skor_Dimensi!G8),Parameter!$C$8,0)))</f>
        <v/>
      </c>
      <c r="H4" s="44" t="str">
        <f>IF((IF(ISNUMBER(Skor_Dimensi!H4),Parameter!$C$4,0)+IF(ISNUMBER(Skor_Dimensi!H5),Parameter!$C$5,0)+IF(ISNUMBER(Skor_Dimensi!H6),Parameter!$C$6,0)+IF(ISNUMBER(Skor_Dimensi!H7),Parameter!$C$7,0)+IF(ISNUMBER(Skor_Dimensi!H8),Parameter!$C$8,0))=0,"",(IF(ISNUMBER(Skor_Dimensi!H4),Skor_Dimensi!H4*Parameter!$C$4,0)+IF(ISNUMBER(Skor_Dimensi!H5),Skor_Dimensi!H5*Parameter!$C$5,0)+IF(ISNUMBER(Skor_Dimensi!H6),Skor_Dimensi!H6*Parameter!$C$6,0)+IF(ISNUMBER(Skor_Dimensi!H7),Skor_Dimensi!H7*Parameter!$C$7,0)+IF(ISNUMBER(Skor_Dimensi!H8),Skor_Dimensi!H8*Parameter!$C$8,0))/(IF(ISNUMBER(Skor_Dimensi!H4),Parameter!$C$4,0)+IF(ISNUMBER(Skor_Dimensi!H5),Parameter!$C$5,0)+IF(ISNUMBER(Skor_Dimensi!H6),Parameter!$C$6,0)+IF(ISNUMBER(Skor_Dimensi!H7),Parameter!$C$7,0)+IF(ISNUMBER(Skor_Dimensi!H8),Parameter!$C$8,0)))</f>
        <v/>
      </c>
      <c r="I4" s="44" t="str">
        <f>IF((IF(ISNUMBER(Skor_Dimensi!I4),Parameter!$C$4,0)+IF(ISNUMBER(Skor_Dimensi!I5),Parameter!$C$5,0)+IF(ISNUMBER(Skor_Dimensi!I6),Parameter!$C$6,0)+IF(ISNUMBER(Skor_Dimensi!I7),Parameter!$C$7,0)+IF(ISNUMBER(Skor_Dimensi!I8),Parameter!$C$8,0))=0,"",(IF(ISNUMBER(Skor_Dimensi!I4),Skor_Dimensi!I4*Parameter!$C$4,0)+IF(ISNUMBER(Skor_Dimensi!I5),Skor_Dimensi!I5*Parameter!$C$5,0)+IF(ISNUMBER(Skor_Dimensi!I6),Skor_Dimensi!I6*Parameter!$C$6,0)+IF(ISNUMBER(Skor_Dimensi!I7),Skor_Dimensi!I7*Parameter!$C$7,0)+IF(ISNUMBER(Skor_Dimensi!I8),Skor_Dimensi!I8*Parameter!$C$8,0))/(IF(ISNUMBER(Skor_Dimensi!I4),Parameter!$C$4,0)+IF(ISNUMBER(Skor_Dimensi!I5),Parameter!$C$5,0)+IF(ISNUMBER(Skor_Dimensi!I6),Parameter!$C$6,0)+IF(ISNUMBER(Skor_Dimensi!I7),Parameter!$C$7,0)+IF(ISNUMBER(Skor_Dimensi!I8),Parameter!$C$8,0)))</f>
        <v/>
      </c>
      <c r="J4" s="44" t="str">
        <f>IF((IF(ISNUMBER(Skor_Dimensi!J4),Parameter!$C$4,0)+IF(ISNUMBER(Skor_Dimensi!J5),Parameter!$C$5,0)+IF(ISNUMBER(Skor_Dimensi!J6),Parameter!$C$6,0)+IF(ISNUMBER(Skor_Dimensi!J7),Parameter!$C$7,0)+IF(ISNUMBER(Skor_Dimensi!J8),Parameter!$C$8,0))=0,"",(IF(ISNUMBER(Skor_Dimensi!J4),Skor_Dimensi!J4*Parameter!$C$4,0)+IF(ISNUMBER(Skor_Dimensi!J5),Skor_Dimensi!J5*Parameter!$C$5,0)+IF(ISNUMBER(Skor_Dimensi!J6),Skor_Dimensi!J6*Parameter!$C$6,0)+IF(ISNUMBER(Skor_Dimensi!J7),Skor_Dimensi!J7*Parameter!$C$7,0)+IF(ISNUMBER(Skor_Dimensi!J8),Skor_Dimensi!J8*Parameter!$C$8,0))/(IF(ISNUMBER(Skor_Dimensi!J4),Parameter!$C$4,0)+IF(ISNUMBER(Skor_Dimensi!J5),Parameter!$C$5,0)+IF(ISNUMBER(Skor_Dimensi!J6),Parameter!$C$6,0)+IF(ISNUMBER(Skor_Dimensi!J7),Parameter!$C$7,0)+IF(ISNUMBER(Skor_Dimensi!J8),Parameter!$C$8,0)))</f>
        <v/>
      </c>
      <c r="K4" s="44" t="str">
        <f>IF((IF(ISNUMBER(Skor_Dimensi!K4),Parameter!$C$4,0)+IF(ISNUMBER(Skor_Dimensi!K5),Parameter!$C$5,0)+IF(ISNUMBER(Skor_Dimensi!K6),Parameter!$C$6,0)+IF(ISNUMBER(Skor_Dimensi!K7),Parameter!$C$7,0)+IF(ISNUMBER(Skor_Dimensi!K8),Parameter!$C$8,0))=0,"",(IF(ISNUMBER(Skor_Dimensi!K4),Skor_Dimensi!K4*Parameter!$C$4,0)+IF(ISNUMBER(Skor_Dimensi!K5),Skor_Dimensi!K5*Parameter!$C$5,0)+IF(ISNUMBER(Skor_Dimensi!K6),Skor_Dimensi!K6*Parameter!$C$6,0)+IF(ISNUMBER(Skor_Dimensi!K7),Skor_Dimensi!K7*Parameter!$C$7,0)+IF(ISNUMBER(Skor_Dimensi!K8),Skor_Dimensi!K8*Parameter!$C$8,0))/(IF(ISNUMBER(Skor_Dimensi!K4),Parameter!$C$4,0)+IF(ISNUMBER(Skor_Dimensi!K5),Parameter!$C$5,0)+IF(ISNUMBER(Skor_Dimensi!K6),Parameter!$C$6,0)+IF(ISNUMBER(Skor_Dimensi!K7),Parameter!$C$7,0)+IF(ISNUMBER(Skor_Dimensi!K8),Parameter!$C$8,0)))</f>
        <v/>
      </c>
      <c r="L4" s="44" t="str">
        <f>IF((IF(ISNUMBER(Skor_Dimensi!L4),Parameter!$C$4,0)+IF(ISNUMBER(Skor_Dimensi!L5),Parameter!$C$5,0)+IF(ISNUMBER(Skor_Dimensi!L6),Parameter!$C$6,0)+IF(ISNUMBER(Skor_Dimensi!L7),Parameter!$C$7,0)+IF(ISNUMBER(Skor_Dimensi!L8),Parameter!$C$8,0))=0,"",(IF(ISNUMBER(Skor_Dimensi!L4),Skor_Dimensi!L4*Parameter!$C$4,0)+IF(ISNUMBER(Skor_Dimensi!L5),Skor_Dimensi!L5*Parameter!$C$5,0)+IF(ISNUMBER(Skor_Dimensi!L6),Skor_Dimensi!L6*Parameter!$C$6,0)+IF(ISNUMBER(Skor_Dimensi!L7),Skor_Dimensi!L7*Parameter!$C$7,0)+IF(ISNUMBER(Skor_Dimensi!L8),Skor_Dimensi!L8*Parameter!$C$8,0))/(IF(ISNUMBER(Skor_Dimensi!L4),Parameter!$C$4,0)+IF(ISNUMBER(Skor_Dimensi!L5),Parameter!$C$5,0)+IF(ISNUMBER(Skor_Dimensi!L6),Parameter!$C$6,0)+IF(ISNUMBER(Skor_Dimensi!L7),Parameter!$C$7,0)+IF(ISNUMBER(Skor_Dimensi!L8),Parameter!$C$8,0)))</f>
        <v/>
      </c>
      <c r="M4" s="44" t="str">
        <f>IF((IF(ISNUMBER(Skor_Dimensi!M4),Parameter!$C$4,0)+IF(ISNUMBER(Skor_Dimensi!M5),Parameter!$C$5,0)+IF(ISNUMBER(Skor_Dimensi!M6),Parameter!$C$6,0)+IF(ISNUMBER(Skor_Dimensi!M7),Parameter!$C$7,0)+IF(ISNUMBER(Skor_Dimensi!M8),Parameter!$C$8,0))=0,"",(IF(ISNUMBER(Skor_Dimensi!M4),Skor_Dimensi!M4*Parameter!$C$4,0)+IF(ISNUMBER(Skor_Dimensi!M5),Skor_Dimensi!M5*Parameter!$C$5,0)+IF(ISNUMBER(Skor_Dimensi!M6),Skor_Dimensi!M6*Parameter!$C$6,0)+IF(ISNUMBER(Skor_Dimensi!M7),Skor_Dimensi!M7*Parameter!$C$7,0)+IF(ISNUMBER(Skor_Dimensi!M8),Skor_Dimensi!M8*Parameter!$C$8,0))/(IF(ISNUMBER(Skor_Dimensi!M4),Parameter!$C$4,0)+IF(ISNUMBER(Skor_Dimensi!M5),Parameter!$C$5,0)+IF(ISNUMBER(Skor_Dimensi!M6),Parameter!$C$6,0)+IF(ISNUMBER(Skor_Dimensi!M7),Parameter!$C$7,0)+IF(ISNUMBER(Skor_Dimensi!M8),Parameter!$C$8,0)))</f>
        <v/>
      </c>
      <c r="N4" s="44" t="str">
        <f>IF((IF(ISNUMBER(Skor_Dimensi!N4),Parameter!$C$4,0)+IF(ISNUMBER(Skor_Dimensi!N5),Parameter!$C$5,0)+IF(ISNUMBER(Skor_Dimensi!N6),Parameter!$C$6,0)+IF(ISNUMBER(Skor_Dimensi!N7),Parameter!$C$7,0)+IF(ISNUMBER(Skor_Dimensi!N8),Parameter!$C$8,0))=0,"",(IF(ISNUMBER(Skor_Dimensi!N4),Skor_Dimensi!N4*Parameter!$C$4,0)+IF(ISNUMBER(Skor_Dimensi!N5),Skor_Dimensi!N5*Parameter!$C$5,0)+IF(ISNUMBER(Skor_Dimensi!N6),Skor_Dimensi!N6*Parameter!$C$6,0)+IF(ISNUMBER(Skor_Dimensi!N7),Skor_Dimensi!N7*Parameter!$C$7,0)+IF(ISNUMBER(Skor_Dimensi!N8),Skor_Dimensi!N8*Parameter!$C$8,0))/(IF(ISNUMBER(Skor_Dimensi!N4),Parameter!$C$4,0)+IF(ISNUMBER(Skor_Dimensi!N5),Parameter!$C$5,0)+IF(ISNUMBER(Skor_Dimensi!N6),Parameter!$C$6,0)+IF(ISNUMBER(Skor_Dimensi!N7),Parameter!$C$7,0)+IF(ISNUMBER(Skor_Dimensi!N8),Parameter!$C$8,0)))</f>
        <v/>
      </c>
      <c r="O4" s="44" t="str">
        <f>IF((IF(ISNUMBER(Skor_Dimensi!O4),Parameter!$C$4,0)+IF(ISNUMBER(Skor_Dimensi!O5),Parameter!$C$5,0)+IF(ISNUMBER(Skor_Dimensi!O6),Parameter!$C$6,0)+IF(ISNUMBER(Skor_Dimensi!O7),Parameter!$C$7,0)+IF(ISNUMBER(Skor_Dimensi!O8),Parameter!$C$8,0))=0,"",(IF(ISNUMBER(Skor_Dimensi!O4),Skor_Dimensi!O4*Parameter!$C$4,0)+IF(ISNUMBER(Skor_Dimensi!O5),Skor_Dimensi!O5*Parameter!$C$5,0)+IF(ISNUMBER(Skor_Dimensi!O6),Skor_Dimensi!O6*Parameter!$C$6,0)+IF(ISNUMBER(Skor_Dimensi!O7),Skor_Dimensi!O7*Parameter!$C$7,0)+IF(ISNUMBER(Skor_Dimensi!O8),Skor_Dimensi!O8*Parameter!$C$8,0))/(IF(ISNUMBER(Skor_Dimensi!O4),Parameter!$C$4,0)+IF(ISNUMBER(Skor_Dimensi!O5),Parameter!$C$5,0)+IF(ISNUMBER(Skor_Dimensi!O6),Parameter!$C$6,0)+IF(ISNUMBER(Skor_Dimensi!O7),Parameter!$C$7,0)+IF(ISNUMBER(Skor_Dimensi!O8),Parameter!$C$8,0)))</f>
        <v/>
      </c>
      <c r="P4" s="44" t="str">
        <f>IF((IF(ISNUMBER(Skor_Dimensi!P4),Parameter!$C$4,0)+IF(ISNUMBER(Skor_Dimensi!P5),Parameter!$C$5,0)+IF(ISNUMBER(Skor_Dimensi!P6),Parameter!$C$6,0)+IF(ISNUMBER(Skor_Dimensi!P7),Parameter!$C$7,0)+IF(ISNUMBER(Skor_Dimensi!P8),Parameter!$C$8,0))=0,"",(IF(ISNUMBER(Skor_Dimensi!P4),Skor_Dimensi!P4*Parameter!$C$4,0)+IF(ISNUMBER(Skor_Dimensi!P5),Skor_Dimensi!P5*Parameter!$C$5,0)+IF(ISNUMBER(Skor_Dimensi!P6),Skor_Dimensi!P6*Parameter!$C$6,0)+IF(ISNUMBER(Skor_Dimensi!P7),Skor_Dimensi!P7*Parameter!$C$7,0)+IF(ISNUMBER(Skor_Dimensi!P8),Skor_Dimensi!P8*Parameter!$C$8,0))/(IF(ISNUMBER(Skor_Dimensi!P4),Parameter!$C$4,0)+IF(ISNUMBER(Skor_Dimensi!P5),Parameter!$C$5,0)+IF(ISNUMBER(Skor_Dimensi!P6),Parameter!$C$6,0)+IF(ISNUMBER(Skor_Dimensi!P7),Parameter!$C$7,0)+IF(ISNUMBER(Skor_Dimensi!P8),Parameter!$C$8,0)))</f>
        <v/>
      </c>
      <c r="Q4" s="44" t="str">
        <f>IF((IF(ISNUMBER(Skor_Dimensi!Q4),Parameter!$C$4,0)+IF(ISNUMBER(Skor_Dimensi!Q5),Parameter!$C$5,0)+IF(ISNUMBER(Skor_Dimensi!Q6),Parameter!$C$6,0)+IF(ISNUMBER(Skor_Dimensi!Q7),Parameter!$C$7,0)+IF(ISNUMBER(Skor_Dimensi!Q8),Parameter!$C$8,0))=0,"",(IF(ISNUMBER(Skor_Dimensi!Q4),Skor_Dimensi!Q4*Parameter!$C$4,0)+IF(ISNUMBER(Skor_Dimensi!Q5),Skor_Dimensi!Q5*Parameter!$C$5,0)+IF(ISNUMBER(Skor_Dimensi!Q6),Skor_Dimensi!Q6*Parameter!$C$6,0)+IF(ISNUMBER(Skor_Dimensi!Q7),Skor_Dimensi!Q7*Parameter!$C$7,0)+IF(ISNUMBER(Skor_Dimensi!Q8),Skor_Dimensi!Q8*Parameter!$C$8,0))/(IF(ISNUMBER(Skor_Dimensi!Q4),Parameter!$C$4,0)+IF(ISNUMBER(Skor_Dimensi!Q5),Parameter!$C$5,0)+IF(ISNUMBER(Skor_Dimensi!Q6),Parameter!$C$6,0)+IF(ISNUMBER(Skor_Dimensi!Q7),Parameter!$C$7,0)+IF(ISNUMBER(Skor_Dimensi!Q8),Parameter!$C$8,0)))</f>
        <v/>
      </c>
      <c r="R4" s="44" t="str">
        <f>IF((IF(ISNUMBER(Skor_Dimensi!R4),Parameter!$C$4,0)+IF(ISNUMBER(Skor_Dimensi!R5),Parameter!$C$5,0)+IF(ISNUMBER(Skor_Dimensi!R6),Parameter!$C$6,0)+IF(ISNUMBER(Skor_Dimensi!R7),Parameter!$C$7,0)+IF(ISNUMBER(Skor_Dimensi!R8),Parameter!$C$8,0))=0,"",(IF(ISNUMBER(Skor_Dimensi!R4),Skor_Dimensi!R4*Parameter!$C$4,0)+IF(ISNUMBER(Skor_Dimensi!R5),Skor_Dimensi!R5*Parameter!$C$5,0)+IF(ISNUMBER(Skor_Dimensi!R6),Skor_Dimensi!R6*Parameter!$C$6,0)+IF(ISNUMBER(Skor_Dimensi!R7),Skor_Dimensi!R7*Parameter!$C$7,0)+IF(ISNUMBER(Skor_Dimensi!R8),Skor_Dimensi!R8*Parameter!$C$8,0))/(IF(ISNUMBER(Skor_Dimensi!R4),Parameter!$C$4,0)+IF(ISNUMBER(Skor_Dimensi!R5),Parameter!$C$5,0)+IF(ISNUMBER(Skor_Dimensi!R6),Parameter!$C$6,0)+IF(ISNUMBER(Skor_Dimensi!R7),Parameter!$C$7,0)+IF(ISNUMBER(Skor_Dimensi!R8),Parameter!$C$8,0)))</f>
        <v/>
      </c>
      <c r="S4" s="44" t="str">
        <f>IF((IF(ISNUMBER(Skor_Dimensi!S4),Parameter!$C$4,0)+IF(ISNUMBER(Skor_Dimensi!S5),Parameter!$C$5,0)+IF(ISNUMBER(Skor_Dimensi!S6),Parameter!$C$6,0)+IF(ISNUMBER(Skor_Dimensi!S7),Parameter!$C$7,0)+IF(ISNUMBER(Skor_Dimensi!S8),Parameter!$C$8,0))=0,"",(IF(ISNUMBER(Skor_Dimensi!S4),Skor_Dimensi!S4*Parameter!$C$4,0)+IF(ISNUMBER(Skor_Dimensi!S5),Skor_Dimensi!S5*Parameter!$C$5,0)+IF(ISNUMBER(Skor_Dimensi!S6),Skor_Dimensi!S6*Parameter!$C$6,0)+IF(ISNUMBER(Skor_Dimensi!S7),Skor_Dimensi!S7*Parameter!$C$7,0)+IF(ISNUMBER(Skor_Dimensi!S8),Skor_Dimensi!S8*Parameter!$C$8,0))/(IF(ISNUMBER(Skor_Dimensi!S4),Parameter!$C$4,0)+IF(ISNUMBER(Skor_Dimensi!S5),Parameter!$C$5,0)+IF(ISNUMBER(Skor_Dimensi!S6),Parameter!$C$6,0)+IF(ISNUMBER(Skor_Dimensi!S7),Parameter!$C$7,0)+IF(ISNUMBER(Skor_Dimensi!S8),Parameter!$C$8,0)))</f>
        <v/>
      </c>
      <c r="T4" s="44" t="str">
        <f>IF((IF(ISNUMBER(Skor_Dimensi!T4),Parameter!$C$4,0)+IF(ISNUMBER(Skor_Dimensi!T5),Parameter!$C$5,0)+IF(ISNUMBER(Skor_Dimensi!T6),Parameter!$C$6,0)+IF(ISNUMBER(Skor_Dimensi!T7),Parameter!$C$7,0)+IF(ISNUMBER(Skor_Dimensi!T8),Parameter!$C$8,0))=0,"",(IF(ISNUMBER(Skor_Dimensi!T4),Skor_Dimensi!T4*Parameter!$C$4,0)+IF(ISNUMBER(Skor_Dimensi!T5),Skor_Dimensi!T5*Parameter!$C$5,0)+IF(ISNUMBER(Skor_Dimensi!T6),Skor_Dimensi!T6*Parameter!$C$6,0)+IF(ISNUMBER(Skor_Dimensi!T7),Skor_Dimensi!T7*Parameter!$C$7,0)+IF(ISNUMBER(Skor_Dimensi!T8),Skor_Dimensi!T8*Parameter!$C$8,0))/(IF(ISNUMBER(Skor_Dimensi!T4),Parameter!$C$4,0)+IF(ISNUMBER(Skor_Dimensi!T5),Parameter!$C$5,0)+IF(ISNUMBER(Skor_Dimensi!T6),Parameter!$C$6,0)+IF(ISNUMBER(Skor_Dimensi!T7),Parameter!$C$7,0)+IF(ISNUMBER(Skor_Dimensi!T8),Parameter!$C$8,0)))</f>
        <v/>
      </c>
      <c r="U4" s="44" t="str">
        <f>IF((IF(ISNUMBER(Skor_Dimensi!U4),Parameter!$C$4,0)+IF(ISNUMBER(Skor_Dimensi!U5),Parameter!$C$5,0)+IF(ISNUMBER(Skor_Dimensi!U6),Parameter!$C$6,0)+IF(ISNUMBER(Skor_Dimensi!U7),Parameter!$C$7,0)+IF(ISNUMBER(Skor_Dimensi!U8),Parameter!$C$8,0))=0,"",(IF(ISNUMBER(Skor_Dimensi!U4),Skor_Dimensi!U4*Parameter!$C$4,0)+IF(ISNUMBER(Skor_Dimensi!U5),Skor_Dimensi!U5*Parameter!$C$5,0)+IF(ISNUMBER(Skor_Dimensi!U6),Skor_Dimensi!U6*Parameter!$C$6,0)+IF(ISNUMBER(Skor_Dimensi!U7),Skor_Dimensi!U7*Parameter!$C$7,0)+IF(ISNUMBER(Skor_Dimensi!U8),Skor_Dimensi!U8*Parameter!$C$8,0))/(IF(ISNUMBER(Skor_Dimensi!U4),Parameter!$C$4,0)+IF(ISNUMBER(Skor_Dimensi!U5),Parameter!$C$5,0)+IF(ISNUMBER(Skor_Dimensi!U6),Parameter!$C$6,0)+IF(ISNUMBER(Skor_Dimensi!U7),Parameter!$C$7,0)+IF(ISNUMBER(Skor_Dimensi!U8),Parameter!$C$8,0)))</f>
        <v/>
      </c>
      <c r="V4" s="44" t="str">
        <f>IF((IF(ISNUMBER(Skor_Dimensi!V4),Parameter!$C$4,0)+IF(ISNUMBER(Skor_Dimensi!V5),Parameter!$C$5,0)+IF(ISNUMBER(Skor_Dimensi!V6),Parameter!$C$6,0)+IF(ISNUMBER(Skor_Dimensi!V7),Parameter!$C$7,0)+IF(ISNUMBER(Skor_Dimensi!V8),Parameter!$C$8,0))=0,"",(IF(ISNUMBER(Skor_Dimensi!V4),Skor_Dimensi!V4*Parameter!$C$4,0)+IF(ISNUMBER(Skor_Dimensi!V5),Skor_Dimensi!V5*Parameter!$C$5,0)+IF(ISNUMBER(Skor_Dimensi!V6),Skor_Dimensi!V6*Parameter!$C$6,0)+IF(ISNUMBER(Skor_Dimensi!V7),Skor_Dimensi!V7*Parameter!$C$7,0)+IF(ISNUMBER(Skor_Dimensi!V8),Skor_Dimensi!V8*Parameter!$C$8,0))/(IF(ISNUMBER(Skor_Dimensi!V4),Parameter!$C$4,0)+IF(ISNUMBER(Skor_Dimensi!V5),Parameter!$C$5,0)+IF(ISNUMBER(Skor_Dimensi!V6),Parameter!$C$6,0)+IF(ISNUMBER(Skor_Dimensi!V7),Parameter!$C$7,0)+IF(ISNUMBER(Skor_Dimensi!V8),Parameter!$C$8,0)))</f>
        <v/>
      </c>
      <c r="W4" s="44" t="str">
        <f>IF((IF(ISNUMBER(Skor_Dimensi!W4),Parameter!$C$4,0)+IF(ISNUMBER(Skor_Dimensi!W5),Parameter!$C$5,0)+IF(ISNUMBER(Skor_Dimensi!W6),Parameter!$C$6,0)+IF(ISNUMBER(Skor_Dimensi!W7),Parameter!$C$7,0)+IF(ISNUMBER(Skor_Dimensi!W8),Parameter!$C$8,0))=0,"",(IF(ISNUMBER(Skor_Dimensi!W4),Skor_Dimensi!W4*Parameter!$C$4,0)+IF(ISNUMBER(Skor_Dimensi!W5),Skor_Dimensi!W5*Parameter!$C$5,0)+IF(ISNUMBER(Skor_Dimensi!W6),Skor_Dimensi!W6*Parameter!$C$6,0)+IF(ISNUMBER(Skor_Dimensi!W7),Skor_Dimensi!W7*Parameter!$C$7,0)+IF(ISNUMBER(Skor_Dimensi!W8),Skor_Dimensi!W8*Parameter!$C$8,0))/(IF(ISNUMBER(Skor_Dimensi!W4),Parameter!$C$4,0)+IF(ISNUMBER(Skor_Dimensi!W5),Parameter!$C$5,0)+IF(ISNUMBER(Skor_Dimensi!W6),Parameter!$C$6,0)+IF(ISNUMBER(Skor_Dimensi!W7),Parameter!$C$7,0)+IF(ISNUMBER(Skor_Dimensi!W8),Parameter!$C$8,0)))</f>
        <v/>
      </c>
      <c r="X4" s="44" t="str">
        <f>IF((IF(ISNUMBER(Skor_Dimensi!X4),Parameter!$C$4,0)+IF(ISNUMBER(Skor_Dimensi!X5),Parameter!$C$5,0)+IF(ISNUMBER(Skor_Dimensi!X6),Parameter!$C$6,0)+IF(ISNUMBER(Skor_Dimensi!X7),Parameter!$C$7,0)+IF(ISNUMBER(Skor_Dimensi!X8),Parameter!$C$8,0))=0,"",(IF(ISNUMBER(Skor_Dimensi!X4),Skor_Dimensi!X4*Parameter!$C$4,0)+IF(ISNUMBER(Skor_Dimensi!X5),Skor_Dimensi!X5*Parameter!$C$5,0)+IF(ISNUMBER(Skor_Dimensi!X6),Skor_Dimensi!X6*Parameter!$C$6,0)+IF(ISNUMBER(Skor_Dimensi!X7),Skor_Dimensi!X7*Parameter!$C$7,0)+IF(ISNUMBER(Skor_Dimensi!X8),Skor_Dimensi!X8*Parameter!$C$8,0))/(IF(ISNUMBER(Skor_Dimensi!X4),Parameter!$C$4,0)+IF(ISNUMBER(Skor_Dimensi!X5),Parameter!$C$5,0)+IF(ISNUMBER(Skor_Dimensi!X6),Parameter!$C$6,0)+IF(ISNUMBER(Skor_Dimensi!X7),Parameter!$C$7,0)+IF(ISNUMBER(Skor_Dimensi!X8),Parameter!$C$8,0)))</f>
        <v/>
      </c>
      <c r="Y4" s="44" t="str">
        <f>IF((IF(ISNUMBER(Skor_Dimensi!Y4),Parameter!$C$4,0)+IF(ISNUMBER(Skor_Dimensi!Y5),Parameter!$C$5,0)+IF(ISNUMBER(Skor_Dimensi!Y6),Parameter!$C$6,0)+IF(ISNUMBER(Skor_Dimensi!Y7),Parameter!$C$7,0)+IF(ISNUMBER(Skor_Dimensi!Y8),Parameter!$C$8,0))=0,"",(IF(ISNUMBER(Skor_Dimensi!Y4),Skor_Dimensi!Y4*Parameter!$C$4,0)+IF(ISNUMBER(Skor_Dimensi!Y5),Skor_Dimensi!Y5*Parameter!$C$5,0)+IF(ISNUMBER(Skor_Dimensi!Y6),Skor_Dimensi!Y6*Parameter!$C$6,0)+IF(ISNUMBER(Skor_Dimensi!Y7),Skor_Dimensi!Y7*Parameter!$C$7,0)+IF(ISNUMBER(Skor_Dimensi!Y8),Skor_Dimensi!Y8*Parameter!$C$8,0))/(IF(ISNUMBER(Skor_Dimensi!Y4),Parameter!$C$4,0)+IF(ISNUMBER(Skor_Dimensi!Y5),Parameter!$C$5,0)+IF(ISNUMBER(Skor_Dimensi!Y6),Parameter!$C$6,0)+IF(ISNUMBER(Skor_Dimensi!Y7),Parameter!$C$7,0)+IF(ISNUMBER(Skor_Dimensi!Y8),Parameter!$C$8,0)))</f>
        <v/>
      </c>
      <c r="Z4" s="9" t="str">
        <f>_xlfn.IFERROR(AVERAGE(E4:Y4),"")</f>
        <v/>
      </c>
    </row>
    <row r="5" spans="8:8" ht="20.0" customHeight="1">
      <c r="A5" s="7">
        <v>2.0</v>
      </c>
      <c r="B5" s="42" t="s">
        <v>1337</v>
      </c>
      <c r="C5" s="43" t="s">
        <v>11</v>
      </c>
      <c r="D5" s="32"/>
      <c r="E5" s="45" t="str">
        <f>IF(E4="","",IF(E6="FLOOR AKTIF",IF(E4&gt;=Parameter!$C$15,"Perlu Perbaikan (Floor)","Kritis (Floor)"),IF(E4&gt;=Parameter!$C$12,"Sangat Baik",IF(E4&gt;=Parameter!$C$13,"Baik",IF(E4&gt;=Parameter!$C$14,"Cukup",IF(E4&gt;=Parameter!$C$15,"Perlu Perbaikan","Kritis"))))))</f>
        <v/>
      </c>
      <c r="F5" s="45" t="str">
        <f>IF(F4="","",IF(F6="FLOOR AKTIF",IF(F4&gt;=Parameter!$C$15,"Perlu Perbaikan (Floor)","Kritis (Floor)"),IF(F4&gt;=Parameter!$C$12,"Sangat Baik",IF(F4&gt;=Parameter!$C$13,"Baik",IF(F4&gt;=Parameter!$C$14,"Cukup",IF(F4&gt;=Parameter!$C$15,"Perlu Perbaikan","Kritis"))))))</f>
        <v/>
      </c>
      <c r="G5" s="45" t="str">
        <f>IF(G4="","",IF(G6="FLOOR AKTIF",IF(G4&gt;=Parameter!$C$15,"Perlu Perbaikan (Floor)","Kritis (Floor)"),IF(G4&gt;=Parameter!$C$12,"Sangat Baik",IF(G4&gt;=Parameter!$C$13,"Baik",IF(G4&gt;=Parameter!$C$14,"Cukup",IF(G4&gt;=Parameter!$C$15,"Perlu Perbaikan","Kritis"))))))</f>
        <v/>
      </c>
      <c r="H5" s="45" t="str">
        <f>IF(H4="","",IF(H6="FLOOR AKTIF",IF(H4&gt;=Parameter!$C$15,"Perlu Perbaikan (Floor)","Kritis (Floor)"),IF(H4&gt;=Parameter!$C$12,"Sangat Baik",IF(H4&gt;=Parameter!$C$13,"Baik",IF(H4&gt;=Parameter!$C$14,"Cukup",IF(H4&gt;=Parameter!$C$15,"Perlu Perbaikan","Kritis"))))))</f>
        <v/>
      </c>
      <c r="I5" s="45" t="str">
        <f>IF(I4="","",IF(I6="FLOOR AKTIF",IF(I4&gt;=Parameter!$C$15,"Perlu Perbaikan (Floor)","Kritis (Floor)"),IF(I4&gt;=Parameter!$C$12,"Sangat Baik",IF(I4&gt;=Parameter!$C$13,"Baik",IF(I4&gt;=Parameter!$C$14,"Cukup",IF(I4&gt;=Parameter!$C$15,"Perlu Perbaikan","Kritis"))))))</f>
        <v/>
      </c>
      <c r="J5" s="45" t="str">
        <f>IF(J4="","",IF(J6="FLOOR AKTIF",IF(J4&gt;=Parameter!$C$15,"Perlu Perbaikan (Floor)","Kritis (Floor)"),IF(J4&gt;=Parameter!$C$12,"Sangat Baik",IF(J4&gt;=Parameter!$C$13,"Baik",IF(J4&gt;=Parameter!$C$14,"Cukup",IF(J4&gt;=Parameter!$C$15,"Perlu Perbaikan","Kritis"))))))</f>
        <v/>
      </c>
      <c r="K5" s="45" t="str">
        <f>IF(K4="","",IF(K6="FLOOR AKTIF",IF(K4&gt;=Parameter!$C$15,"Perlu Perbaikan (Floor)","Kritis (Floor)"),IF(K4&gt;=Parameter!$C$12,"Sangat Baik",IF(K4&gt;=Parameter!$C$13,"Baik",IF(K4&gt;=Parameter!$C$14,"Cukup",IF(K4&gt;=Parameter!$C$15,"Perlu Perbaikan","Kritis"))))))</f>
        <v/>
      </c>
      <c r="L5" s="45" t="str">
        <f>IF(L4="","",IF(L6="FLOOR AKTIF",IF(L4&gt;=Parameter!$C$15,"Perlu Perbaikan (Floor)","Kritis (Floor)"),IF(L4&gt;=Parameter!$C$12,"Sangat Baik",IF(L4&gt;=Parameter!$C$13,"Baik",IF(L4&gt;=Parameter!$C$14,"Cukup",IF(L4&gt;=Parameter!$C$15,"Perlu Perbaikan","Kritis"))))))</f>
        <v/>
      </c>
      <c r="M5" s="45" t="str">
        <f>IF(M4="","",IF(M6="FLOOR AKTIF",IF(M4&gt;=Parameter!$C$15,"Perlu Perbaikan (Floor)","Kritis (Floor)"),IF(M4&gt;=Parameter!$C$12,"Sangat Baik",IF(M4&gt;=Parameter!$C$13,"Baik",IF(M4&gt;=Parameter!$C$14,"Cukup",IF(M4&gt;=Parameter!$C$15,"Perlu Perbaikan","Kritis"))))))</f>
        <v/>
      </c>
      <c r="N5" s="45" t="str">
        <f>IF(N4="","",IF(N6="FLOOR AKTIF",IF(N4&gt;=Parameter!$C$15,"Perlu Perbaikan (Floor)","Kritis (Floor)"),IF(N4&gt;=Parameter!$C$12,"Sangat Baik",IF(N4&gt;=Parameter!$C$13,"Baik",IF(N4&gt;=Parameter!$C$14,"Cukup",IF(N4&gt;=Parameter!$C$15,"Perlu Perbaikan","Kritis"))))))</f>
        <v/>
      </c>
      <c r="O5" s="45" t="str">
        <f>IF(O4="","",IF(O6="FLOOR AKTIF",IF(O4&gt;=Parameter!$C$15,"Perlu Perbaikan (Floor)","Kritis (Floor)"),IF(O4&gt;=Parameter!$C$12,"Sangat Baik",IF(O4&gt;=Parameter!$C$13,"Baik",IF(O4&gt;=Parameter!$C$14,"Cukup",IF(O4&gt;=Parameter!$C$15,"Perlu Perbaikan","Kritis"))))))</f>
        <v/>
      </c>
      <c r="P5" s="45" t="str">
        <f>IF(P4="","",IF(P6="FLOOR AKTIF",IF(P4&gt;=Parameter!$C$15,"Perlu Perbaikan (Floor)","Kritis (Floor)"),IF(P4&gt;=Parameter!$C$12,"Sangat Baik",IF(P4&gt;=Parameter!$C$13,"Baik",IF(P4&gt;=Parameter!$C$14,"Cukup",IF(P4&gt;=Parameter!$C$15,"Perlu Perbaikan","Kritis"))))))</f>
        <v/>
      </c>
      <c r="Q5" s="45" t="str">
        <f>IF(Q4="","",IF(Q6="FLOOR AKTIF",IF(Q4&gt;=Parameter!$C$15,"Perlu Perbaikan (Floor)","Kritis (Floor)"),IF(Q4&gt;=Parameter!$C$12,"Sangat Baik",IF(Q4&gt;=Parameter!$C$13,"Baik",IF(Q4&gt;=Parameter!$C$14,"Cukup",IF(Q4&gt;=Parameter!$C$15,"Perlu Perbaikan","Kritis"))))))</f>
        <v/>
      </c>
      <c r="R5" s="45" t="str">
        <f>IF(R4="","",IF(R6="FLOOR AKTIF",IF(R4&gt;=Parameter!$C$15,"Perlu Perbaikan (Floor)","Kritis (Floor)"),IF(R4&gt;=Parameter!$C$12,"Sangat Baik",IF(R4&gt;=Parameter!$C$13,"Baik",IF(R4&gt;=Parameter!$C$14,"Cukup",IF(R4&gt;=Parameter!$C$15,"Perlu Perbaikan","Kritis"))))))</f>
        <v/>
      </c>
      <c r="S5" s="45" t="str">
        <f>IF(S4="","",IF(S6="FLOOR AKTIF",IF(S4&gt;=Parameter!$C$15,"Perlu Perbaikan (Floor)","Kritis (Floor)"),IF(S4&gt;=Parameter!$C$12,"Sangat Baik",IF(S4&gt;=Parameter!$C$13,"Baik",IF(S4&gt;=Parameter!$C$14,"Cukup",IF(S4&gt;=Parameter!$C$15,"Perlu Perbaikan","Kritis"))))))</f>
        <v/>
      </c>
      <c r="T5" s="45" t="str">
        <f>IF(T4="","",IF(T6="FLOOR AKTIF",IF(T4&gt;=Parameter!$C$15,"Perlu Perbaikan (Floor)","Kritis (Floor)"),IF(T4&gt;=Parameter!$C$12,"Sangat Baik",IF(T4&gt;=Parameter!$C$13,"Baik",IF(T4&gt;=Parameter!$C$14,"Cukup",IF(T4&gt;=Parameter!$C$15,"Perlu Perbaikan","Kritis"))))))</f>
        <v/>
      </c>
      <c r="U5" s="45" t="str">
        <f>IF(U4="","",IF(U6="FLOOR AKTIF",IF(U4&gt;=Parameter!$C$15,"Perlu Perbaikan (Floor)","Kritis (Floor)"),IF(U4&gt;=Parameter!$C$12,"Sangat Baik",IF(U4&gt;=Parameter!$C$13,"Baik",IF(U4&gt;=Parameter!$C$14,"Cukup",IF(U4&gt;=Parameter!$C$15,"Perlu Perbaikan","Kritis"))))))</f>
        <v/>
      </c>
      <c r="V5" s="45" t="str">
        <f>IF(V4="","",IF(V6="FLOOR AKTIF",IF(V4&gt;=Parameter!$C$15,"Perlu Perbaikan (Floor)","Kritis (Floor)"),IF(V4&gt;=Parameter!$C$12,"Sangat Baik",IF(V4&gt;=Parameter!$C$13,"Baik",IF(V4&gt;=Parameter!$C$14,"Cukup",IF(V4&gt;=Parameter!$C$15,"Perlu Perbaikan","Kritis"))))))</f>
        <v/>
      </c>
      <c r="W5" s="45" t="str">
        <f>IF(W4="","",IF(W6="FLOOR AKTIF",IF(W4&gt;=Parameter!$C$15,"Perlu Perbaikan (Floor)","Kritis (Floor)"),IF(W4&gt;=Parameter!$C$12,"Sangat Baik",IF(W4&gt;=Parameter!$C$13,"Baik",IF(W4&gt;=Parameter!$C$14,"Cukup",IF(W4&gt;=Parameter!$C$15,"Perlu Perbaikan","Kritis"))))))</f>
        <v/>
      </c>
      <c r="X5" s="45" t="str">
        <f>IF(X4="","",IF(X6="FLOOR AKTIF",IF(X4&gt;=Parameter!$C$15,"Perlu Perbaikan (Floor)","Kritis (Floor)"),IF(X4&gt;=Parameter!$C$12,"Sangat Baik",IF(X4&gt;=Parameter!$C$13,"Baik",IF(X4&gt;=Parameter!$C$14,"Cukup",IF(X4&gt;=Parameter!$C$15,"Perlu Perbaikan","Kritis"))))))</f>
        <v/>
      </c>
      <c r="Y5" s="45" t="str">
        <f>IF(Y4="","",IF(Y6="FLOOR AKTIF",IF(Y4&gt;=Parameter!$C$15,"Perlu Perbaikan (Floor)","Kritis (Floor)"),IF(Y4&gt;=Parameter!$C$12,"Sangat Baik",IF(Y4&gt;=Parameter!$C$13,"Baik",IF(Y4&gt;=Parameter!$C$14,"Cukup",IF(Y4&gt;=Parameter!$C$15,"Perlu Perbaikan","Kritis"))))))</f>
        <v/>
      </c>
    </row>
    <row r="6" spans="8:8" ht="20.0" customHeight="1">
      <c r="A6" s="7">
        <v>3.0</v>
      </c>
      <c r="B6" s="42" t="s">
        <v>1338</v>
      </c>
      <c r="C6" s="43" t="s">
        <v>1339</v>
      </c>
      <c r="D6" s="32"/>
      <c r="E6" s="35" t="str">
        <f>IF(COUNT(Skor_Dimensi!E4:E8)&lt;5,"",IF(MIN(Skor_Dimensi!E4:E8)&lt;Parameter!$C$17,"FLOOR AKTIF","-"))</f>
        <v/>
      </c>
      <c r="F6" s="35" t="str">
        <f>IF(COUNT(Skor_Dimensi!F4:F8)&lt;5,"",IF(MIN(Skor_Dimensi!F4:F8)&lt;Parameter!$C$17,"FLOOR AKTIF","-"))</f>
        <v/>
      </c>
      <c r="G6" s="35" t="str">
        <f>IF(COUNT(Skor_Dimensi!G4:G8)&lt;5,"",IF(MIN(Skor_Dimensi!G4:G8)&lt;Parameter!$C$17,"FLOOR AKTIF","-"))</f>
        <v/>
      </c>
      <c r="H6" s="35" t="str">
        <f>IF(COUNT(Skor_Dimensi!H4:H8)&lt;5,"",IF(MIN(Skor_Dimensi!H4:H8)&lt;Parameter!$C$17,"FLOOR AKTIF","-"))</f>
        <v/>
      </c>
      <c r="I6" s="35" t="str">
        <f>IF(COUNT(Skor_Dimensi!I4:I8)&lt;5,"",IF(MIN(Skor_Dimensi!I4:I8)&lt;Parameter!$C$17,"FLOOR AKTIF","-"))</f>
        <v/>
      </c>
      <c r="J6" s="35" t="str">
        <f>IF(COUNT(Skor_Dimensi!J4:J8)&lt;5,"",IF(MIN(Skor_Dimensi!J4:J8)&lt;Parameter!$C$17,"FLOOR AKTIF","-"))</f>
        <v/>
      </c>
      <c r="K6" s="35" t="str">
        <f>IF(COUNT(Skor_Dimensi!K4:K8)&lt;5,"",IF(MIN(Skor_Dimensi!K4:K8)&lt;Parameter!$C$17,"FLOOR AKTIF","-"))</f>
        <v/>
      </c>
      <c r="L6" s="35" t="str">
        <f>IF(COUNT(Skor_Dimensi!L4:L8)&lt;5,"",IF(MIN(Skor_Dimensi!L4:L8)&lt;Parameter!$C$17,"FLOOR AKTIF","-"))</f>
        <v/>
      </c>
      <c r="M6" s="35" t="str">
        <f>IF(COUNT(Skor_Dimensi!M4:M8)&lt;5,"",IF(MIN(Skor_Dimensi!M4:M8)&lt;Parameter!$C$17,"FLOOR AKTIF","-"))</f>
        <v/>
      </c>
      <c r="N6" s="35" t="str">
        <f>IF(COUNT(Skor_Dimensi!N4:N8)&lt;5,"",IF(MIN(Skor_Dimensi!N4:N8)&lt;Parameter!$C$17,"FLOOR AKTIF","-"))</f>
        <v/>
      </c>
      <c r="O6" s="35" t="str">
        <f>IF(COUNT(Skor_Dimensi!O4:O8)&lt;5,"",IF(MIN(Skor_Dimensi!O4:O8)&lt;Parameter!$C$17,"FLOOR AKTIF","-"))</f>
        <v/>
      </c>
      <c r="P6" s="35" t="str">
        <f>IF(COUNT(Skor_Dimensi!P4:P8)&lt;5,"",IF(MIN(Skor_Dimensi!P4:P8)&lt;Parameter!$C$17,"FLOOR AKTIF","-"))</f>
        <v/>
      </c>
      <c r="Q6" s="35" t="str">
        <f>IF(COUNT(Skor_Dimensi!Q4:Q8)&lt;5,"",IF(MIN(Skor_Dimensi!Q4:Q8)&lt;Parameter!$C$17,"FLOOR AKTIF","-"))</f>
        <v/>
      </c>
      <c r="R6" s="35" t="str">
        <f>IF(COUNT(Skor_Dimensi!R4:R8)&lt;5,"",IF(MIN(Skor_Dimensi!R4:R8)&lt;Parameter!$C$17,"FLOOR AKTIF","-"))</f>
        <v/>
      </c>
      <c r="S6" s="35" t="str">
        <f>IF(COUNT(Skor_Dimensi!S4:S8)&lt;5,"",IF(MIN(Skor_Dimensi!S4:S8)&lt;Parameter!$C$17,"FLOOR AKTIF","-"))</f>
        <v/>
      </c>
      <c r="T6" s="35" t="str">
        <f>IF(COUNT(Skor_Dimensi!T4:T8)&lt;5,"",IF(MIN(Skor_Dimensi!T4:T8)&lt;Parameter!$C$17,"FLOOR AKTIF","-"))</f>
        <v/>
      </c>
      <c r="U6" s="35" t="str">
        <f>IF(COUNT(Skor_Dimensi!U4:U8)&lt;5,"",IF(MIN(Skor_Dimensi!U4:U8)&lt;Parameter!$C$17,"FLOOR AKTIF","-"))</f>
        <v/>
      </c>
      <c r="V6" s="35" t="str">
        <f>IF(COUNT(Skor_Dimensi!V4:V8)&lt;5,"",IF(MIN(Skor_Dimensi!V4:V8)&lt;Parameter!$C$17,"FLOOR AKTIF","-"))</f>
        <v/>
      </c>
      <c r="W6" s="35" t="str">
        <f>IF(COUNT(Skor_Dimensi!W4:W8)&lt;5,"",IF(MIN(Skor_Dimensi!W4:W8)&lt;Parameter!$C$17,"FLOOR AKTIF","-"))</f>
        <v/>
      </c>
      <c r="X6" s="35" t="str">
        <f>IF(COUNT(Skor_Dimensi!X4:X8)&lt;5,"",IF(MIN(Skor_Dimensi!X4:X8)&lt;Parameter!$C$17,"FLOOR AKTIF","-"))</f>
        <v/>
      </c>
      <c r="Y6" s="35" t="str">
        <f>IF(COUNT(Skor_Dimensi!Y4:Y8)&lt;5,"",IF(MIN(Skor_Dimensi!Y4:Y8)&lt;Parameter!$C$17,"FLOOR AKTIF","-"))</f>
        <v/>
      </c>
    </row>
    <row r="7" spans="8:8" ht="20.0" customHeight="1">
      <c r="A7" s="7">
        <v>4.0</v>
      </c>
      <c r="B7" s="42" t="s">
        <v>17</v>
      </c>
      <c r="C7" s="43" t="s">
        <v>1340</v>
      </c>
      <c r="D7" s="32"/>
      <c r="E7" s="35" t="str">
        <f>Skor_Dimensi!E9</f>
        <v/>
      </c>
      <c r="F7" s="35" t="str">
        <f>Skor_Dimensi!F9</f>
        <v/>
      </c>
      <c r="G7" s="35" t="str">
        <f>Skor_Dimensi!G9</f>
        <v/>
      </c>
      <c r="H7" s="35" t="str">
        <f>Skor_Dimensi!H9</f>
        <v/>
      </c>
      <c r="I7" s="35" t="str">
        <f>Skor_Dimensi!I9</f>
        <v/>
      </c>
      <c r="J7" s="35" t="str">
        <f>Skor_Dimensi!J9</f>
        <v/>
      </c>
      <c r="K7" s="35" t="str">
        <f>Skor_Dimensi!K9</f>
        <v/>
      </c>
      <c r="L7" s="35" t="str">
        <f>Skor_Dimensi!L9</f>
        <v/>
      </c>
      <c r="M7" s="35" t="str">
        <f>Skor_Dimensi!M9</f>
        <v/>
      </c>
      <c r="N7" s="35" t="str">
        <f>Skor_Dimensi!N9</f>
        <v/>
      </c>
      <c r="O7" s="35" t="str">
        <f>Skor_Dimensi!O9</f>
        <v/>
      </c>
      <c r="P7" s="35" t="str">
        <f>Skor_Dimensi!P9</f>
        <v/>
      </c>
      <c r="Q7" s="35" t="str">
        <f>Skor_Dimensi!Q9</f>
        <v/>
      </c>
      <c r="R7" s="35" t="str">
        <f>Skor_Dimensi!R9</f>
        <v/>
      </c>
      <c r="S7" s="35" t="str">
        <f>Skor_Dimensi!S9</f>
        <v/>
      </c>
      <c r="T7" s="35" t="str">
        <f>Skor_Dimensi!T9</f>
        <v/>
      </c>
      <c r="U7" s="35" t="str">
        <f>Skor_Dimensi!U9</f>
        <v/>
      </c>
      <c r="V7" s="35" t="str">
        <f>Skor_Dimensi!V9</f>
        <v/>
      </c>
      <c r="W7" s="35" t="str">
        <f>Skor_Dimensi!W9</f>
        <v/>
      </c>
      <c r="X7" s="35" t="str">
        <f>Skor_Dimensi!X9</f>
        <v/>
      </c>
      <c r="Y7" s="35" t="str">
        <f>Skor_Dimensi!Y9</f>
        <v/>
      </c>
      <c r="Z7" s="9" t="str">
        <f>_xlfn.IFERROR(AVERAGE(E7:Y7),"")</f>
        <v/>
      </c>
    </row>
    <row r="8" spans="8:8" ht="20.0" customHeight="1">
      <c r="A8" s="7">
        <v>5.0</v>
      </c>
      <c r="B8" s="42" t="s">
        <v>18</v>
      </c>
      <c r="C8" s="43" t="s">
        <v>1341</v>
      </c>
      <c r="D8" s="32"/>
      <c r="E8" s="35" t="str">
        <f>Skor_Dimensi!E10</f>
        <v/>
      </c>
      <c r="F8" s="35" t="str">
        <f>Skor_Dimensi!F10</f>
        <v/>
      </c>
      <c r="G8" s="35" t="str">
        <f>Skor_Dimensi!G10</f>
        <v/>
      </c>
      <c r="H8" s="35" t="str">
        <f>Skor_Dimensi!H10</f>
        <v/>
      </c>
      <c r="I8" s="35" t="str">
        <f>Skor_Dimensi!I10</f>
        <v/>
      </c>
      <c r="J8" s="35" t="str">
        <f>Skor_Dimensi!J10</f>
        <v/>
      </c>
      <c r="K8" s="35" t="str">
        <f>Skor_Dimensi!K10</f>
        <v/>
      </c>
      <c r="L8" s="35" t="str">
        <f>Skor_Dimensi!L10</f>
        <v/>
      </c>
      <c r="M8" s="35" t="str">
        <f>Skor_Dimensi!M10</f>
        <v/>
      </c>
      <c r="N8" s="35" t="str">
        <f>Skor_Dimensi!N10</f>
        <v/>
      </c>
      <c r="O8" s="35" t="str">
        <f>Skor_Dimensi!O10</f>
        <v/>
      </c>
      <c r="P8" s="35" t="str">
        <f>Skor_Dimensi!P10</f>
        <v/>
      </c>
      <c r="Q8" s="35" t="str">
        <f>Skor_Dimensi!Q10</f>
        <v/>
      </c>
      <c r="R8" s="35" t="str">
        <f>Skor_Dimensi!R10</f>
        <v/>
      </c>
      <c r="S8" s="35" t="str">
        <f>Skor_Dimensi!S10</f>
        <v/>
      </c>
      <c r="T8" s="35" t="str">
        <f>Skor_Dimensi!T10</f>
        <v/>
      </c>
      <c r="U8" s="35" t="str">
        <f>Skor_Dimensi!U10</f>
        <v/>
      </c>
      <c r="V8" s="35" t="str">
        <f>Skor_Dimensi!V10</f>
        <v/>
      </c>
      <c r="W8" s="35" t="str">
        <f>Skor_Dimensi!W10</f>
        <v/>
      </c>
      <c r="X8" s="35" t="str">
        <f>Skor_Dimensi!X10</f>
        <v/>
      </c>
      <c r="Y8" s="35" t="str">
        <f>Skor_Dimensi!Y10</f>
        <v/>
      </c>
      <c r="Z8" s="9" t="str">
        <f>_xlfn.IFERROR(AVERAGE(E8:Y8),"")</f>
        <v/>
      </c>
    </row>
  </sheetData>
  <mergeCells count="1">
    <mergeCell ref="A1:Z1"/>
  </mergeCells>
  <conditionalFormatting sqref="E4:Y4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conditionalFormatting sqref="E5:Y5">
    <cfRule type="expression" priority="2" dxfId="1">
      <formula>ISNUMBER(SEARCH("Kritis",E5))</formula>
    </cfRule>
    <cfRule type="expression" priority="3" dxfId="2">
      <formula>ISNUMBER(SEARCH("Sangat Baik",E5))</formula>
    </cfRule>
  </conditionalFormatting>
  <pageMargins left="0.75" right="0.75" top="1.0" bottom="1.0" header="0.5" footer="0.5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C105"/>
  <sheetViews>
    <sheetView workbookViewId="0" showGridLines="0" zoomScale="90">
      <pane xSplit="7" ySplit="2" topLeftCell="H3" state="frozen" activePane="bottomRight"/>
      <selection pane="bottomRight" activeCell="A1" sqref="A1:G1"/>
    </sheetView>
  </sheetViews>
  <sheetFormatPr defaultRowHeight="15.0" defaultColWidth="10"/>
  <cols>
    <col min="1" max="1" customWidth="1" width="4.0" style="0"/>
    <col min="2" max="2" customWidth="1" width="9.0" style="0"/>
    <col min="3" max="3" customWidth="1" width="20.0" style="0"/>
    <col min="4" max="4" customWidth="1" width="7.0" style="0"/>
    <col min="5" max="5" customWidth="1" width="46.0" style="0"/>
    <col min="6" max="6" customWidth="1" width="9.0" style="0"/>
    <col min="7" max="7" customWidth="1" width="10.0" style="0"/>
    <col min="8" max="8" customWidth="1" width="9.0" style="0"/>
    <col min="9" max="9" customWidth="1" width="9.0" style="0"/>
    <col min="10" max="10" customWidth="1" width="9.0" style="0"/>
    <col min="11" max="11" customWidth="1" width="9.0" style="0"/>
    <col min="12" max="12" customWidth="1" width="9.0" style="0"/>
    <col min="13" max="13" customWidth="1" width="9.0" style="0"/>
    <col min="14" max="14" customWidth="1" width="9.0" style="0"/>
    <col min="15" max="15" customWidth="1" width="9.0" style="0"/>
    <col min="16" max="16" customWidth="1" width="9.0" style="0"/>
    <col min="17" max="17" customWidth="1" width="9.0" style="0"/>
    <col min="18" max="18" customWidth="1" width="9.0" style="0"/>
    <col min="19" max="19" customWidth="1" width="9.0" style="0"/>
    <col min="20" max="20" customWidth="1" width="9.0" style="0"/>
    <col min="21" max="21" customWidth="1" width="9.0" style="0"/>
    <col min="22" max="22" customWidth="1" width="9.0" style="0"/>
    <col min="23" max="23" customWidth="1" width="9.0" style="0"/>
    <col min="24" max="24" customWidth="1" width="9.0" style="0"/>
    <col min="25" max="25" customWidth="1" width="9.0" style="0"/>
    <col min="26" max="26" customWidth="1" width="9.0" style="0"/>
    <col min="27" max="27" customWidth="1" width="9.0" style="0"/>
    <col min="28" max="28" customWidth="1" width="9.0" style="0"/>
  </cols>
  <sheetData>
    <row r="1" spans="8:8" ht="26.0" customHeight="1">
      <c r="A1" s="1" t="s">
        <v>1136</v>
      </c>
    </row>
    <row r="2" spans="8:8" ht="34.0" customHeight="1">
      <c r="A2" s="6" t="s">
        <v>31</v>
      </c>
      <c r="B2" s="6" t="s">
        <v>24</v>
      </c>
      <c r="C2" s="6" t="s">
        <v>26</v>
      </c>
      <c r="D2" s="6" t="s">
        <v>23</v>
      </c>
      <c r="E2" s="6" t="s">
        <v>1137</v>
      </c>
      <c r="F2" s="6" t="s">
        <v>33</v>
      </c>
      <c r="G2" s="6" t="s">
        <v>1058</v>
      </c>
      <c r="H2" s="46" t="s">
        <v>34</v>
      </c>
      <c r="I2" s="46" t="s">
        <v>35</v>
      </c>
      <c r="J2" s="46" t="s">
        <v>36</v>
      </c>
      <c r="K2" s="46" t="s">
        <v>37</v>
      </c>
      <c r="L2" s="46" t="s">
        <v>38</v>
      </c>
      <c r="M2" s="46" t="s">
        <v>39</v>
      </c>
      <c r="N2" s="46" t="s">
        <v>40</v>
      </c>
      <c r="O2" s="46" t="s">
        <v>41</v>
      </c>
      <c r="P2" s="46" t="s">
        <v>42</v>
      </c>
      <c r="Q2" s="46" t="s">
        <v>43</v>
      </c>
      <c r="R2" s="46" t="s">
        <v>44</v>
      </c>
      <c r="S2" s="46" t="s">
        <v>45</v>
      </c>
      <c r="T2" s="46" t="s">
        <v>46</v>
      </c>
      <c r="U2" s="46" t="s">
        <v>47</v>
      </c>
      <c r="V2" s="46" t="s">
        <v>48</v>
      </c>
      <c r="W2" s="46" t="s">
        <v>49</v>
      </c>
      <c r="X2" s="46" t="s">
        <v>50</v>
      </c>
      <c r="Y2" s="46" t="s">
        <v>51</v>
      </c>
      <c r="Z2" s="46" t="s">
        <v>52</v>
      </c>
      <c r="AA2" s="46" t="s">
        <v>53</v>
      </c>
      <c r="AB2" s="46" t="s">
        <v>54</v>
      </c>
    </row>
    <row r="3" spans="8:8">
      <c r="A3" s="7">
        <v>1.0</v>
      </c>
      <c r="B3" s="7" t="s">
        <v>1059</v>
      </c>
      <c r="C3" s="47" t="s">
        <v>1138</v>
      </c>
      <c r="D3" s="7" t="s">
        <v>747</v>
      </c>
      <c r="E3" s="48" t="s">
        <v>748</v>
      </c>
      <c r="F3" s="7">
        <v>4.0</v>
      </c>
      <c r="G3" s="9" t="str">
        <f>_xlfn.IFERROR(AVERAGE(H3:AB3)+ROW()*0.0000001,"")</f>
        <v/>
      </c>
      <c r="H3" s="11" t="str">
        <f>Cek_A!E5</f>
        <v/>
      </c>
      <c r="I3" s="11" t="str">
        <f>Cek_A!F5</f>
        <v/>
      </c>
      <c r="J3" s="11" t="str">
        <f>Cek_A!G5</f>
        <v/>
      </c>
      <c r="K3" s="11" t="str">
        <f>Cek_A!H5</f>
        <v/>
      </c>
      <c r="L3" s="11" t="str">
        <f>Cek_A!I5</f>
        <v/>
      </c>
      <c r="M3" s="11" t="str">
        <f>Cek_A!J5</f>
        <v/>
      </c>
      <c r="N3" s="11" t="str">
        <f>Cek_A!K5</f>
        <v/>
      </c>
      <c r="O3" s="11" t="str">
        <f>Cek_A!L5</f>
        <v/>
      </c>
      <c r="P3" s="11" t="str">
        <f>Cek_A!M5</f>
        <v/>
      </c>
      <c r="Q3" s="11" t="str">
        <f>Cek_A!N5</f>
        <v/>
      </c>
      <c r="R3" s="11" t="str">
        <f>Cek_A!O5</f>
        <v/>
      </c>
      <c r="S3" s="11" t="str">
        <f>Cek_A!P5</f>
        <v/>
      </c>
      <c r="T3" s="11" t="str">
        <f>Cek_A!Q5</f>
        <v/>
      </c>
      <c r="U3" s="11" t="str">
        <f>Cek_A!R5</f>
        <v/>
      </c>
      <c r="V3" s="11" t="str">
        <f>Cek_A!S5</f>
        <v/>
      </c>
      <c r="W3" s="11" t="str">
        <f>Cek_A!T5</f>
        <v/>
      </c>
      <c r="X3" s="11" t="str">
        <f>Cek_A!U5</f>
        <v/>
      </c>
      <c r="Y3" s="11" t="str">
        <f>Cek_A!V5</f>
        <v/>
      </c>
      <c r="Z3" s="11" t="str">
        <f>Cek_A!W5</f>
        <v/>
      </c>
      <c r="AA3" s="11" t="str">
        <f>Cek_A!X5</f>
        <v/>
      </c>
      <c r="AB3" s="11" t="str">
        <f>Cek_A!Y5</f>
        <v/>
      </c>
    </row>
    <row r="4" spans="8:8">
      <c r="A4" s="7">
        <v>2.0</v>
      </c>
      <c r="B4" s="7" t="s">
        <v>1059</v>
      </c>
      <c r="C4" s="47" t="s">
        <v>1138</v>
      </c>
      <c r="D4" s="7" t="s">
        <v>759</v>
      </c>
      <c r="E4" s="48" t="s">
        <v>760</v>
      </c>
      <c r="F4" s="7">
        <v>4.0</v>
      </c>
      <c r="G4" s="9" t="str">
        <f>_xlfn.IFERROR(AVERAGE(H4:AB4)+ROW()*0.0000001,"")</f>
        <v/>
      </c>
      <c r="H4" s="11" t="str">
        <f>Cek_A!E11</f>
        <v/>
      </c>
      <c r="I4" s="11" t="str">
        <f>Cek_A!F11</f>
        <v/>
      </c>
      <c r="J4" s="11" t="str">
        <f>Cek_A!G11</f>
        <v/>
      </c>
      <c r="K4" s="11" t="str">
        <f>Cek_A!H11</f>
        <v/>
      </c>
      <c r="L4" s="11" t="str">
        <f>Cek_A!I11</f>
        <v/>
      </c>
      <c r="M4" s="11" t="str">
        <f>Cek_A!J11</f>
        <v/>
      </c>
      <c r="N4" s="11" t="str">
        <f>Cek_A!K11</f>
        <v/>
      </c>
      <c r="O4" s="11" t="str">
        <f>Cek_A!L11</f>
        <v/>
      </c>
      <c r="P4" s="11" t="str">
        <f>Cek_A!M11</f>
        <v/>
      </c>
      <c r="Q4" s="11" t="str">
        <f>Cek_A!N11</f>
        <v/>
      </c>
      <c r="R4" s="11" t="str">
        <f>Cek_A!O11</f>
        <v/>
      </c>
      <c r="S4" s="11" t="str">
        <f>Cek_A!P11</f>
        <v/>
      </c>
      <c r="T4" s="11" t="str">
        <f>Cek_A!Q11</f>
        <v/>
      </c>
      <c r="U4" s="11" t="str">
        <f>Cek_A!R11</f>
        <v/>
      </c>
      <c r="V4" s="11" t="str">
        <f>Cek_A!S11</f>
        <v/>
      </c>
      <c r="W4" s="11" t="str">
        <f>Cek_A!T11</f>
        <v/>
      </c>
      <c r="X4" s="11" t="str">
        <f>Cek_A!U11</f>
        <v/>
      </c>
      <c r="Y4" s="11" t="str">
        <f>Cek_A!V11</f>
        <v/>
      </c>
      <c r="Z4" s="11" t="str">
        <f>Cek_A!W11</f>
        <v/>
      </c>
      <c r="AA4" s="11" t="str">
        <f>Cek_A!X11</f>
        <v/>
      </c>
      <c r="AB4" s="11" t="str">
        <f>Cek_A!Y11</f>
        <v/>
      </c>
    </row>
    <row r="5" spans="8:8">
      <c r="A5" s="7">
        <v>3.0</v>
      </c>
      <c r="B5" s="7" t="s">
        <v>1059</v>
      </c>
      <c r="C5" s="47" t="s">
        <v>1138</v>
      </c>
      <c r="D5" s="7" t="s">
        <v>771</v>
      </c>
      <c r="E5" s="48" t="s">
        <v>772</v>
      </c>
      <c r="F5" s="7">
        <v>4.0</v>
      </c>
      <c r="G5" s="9" t="str">
        <f>_xlfn.IFERROR(AVERAGE(H5:AB5)+ROW()*0.0000001,"")</f>
        <v/>
      </c>
      <c r="H5" s="11" t="str">
        <f>Cek_A!E17</f>
        <v/>
      </c>
      <c r="I5" s="11" t="str">
        <f>Cek_A!F17</f>
        <v/>
      </c>
      <c r="J5" s="11" t="str">
        <f>Cek_A!G17</f>
        <v/>
      </c>
      <c r="K5" s="11" t="str">
        <f>Cek_A!H17</f>
        <v/>
      </c>
      <c r="L5" s="11" t="str">
        <f>Cek_A!I17</f>
        <v/>
      </c>
      <c r="M5" s="11" t="str">
        <f>Cek_A!J17</f>
        <v/>
      </c>
      <c r="N5" s="11" t="str">
        <f>Cek_A!K17</f>
        <v/>
      </c>
      <c r="O5" s="11" t="str">
        <f>Cek_A!L17</f>
        <v/>
      </c>
      <c r="P5" s="11" t="str">
        <f>Cek_A!M17</f>
        <v/>
      </c>
      <c r="Q5" s="11" t="str">
        <f>Cek_A!N17</f>
        <v/>
      </c>
      <c r="R5" s="11" t="str">
        <f>Cek_A!O17</f>
        <v/>
      </c>
      <c r="S5" s="11" t="str">
        <f>Cek_A!P17</f>
        <v/>
      </c>
      <c r="T5" s="11" t="str">
        <f>Cek_A!Q17</f>
        <v/>
      </c>
      <c r="U5" s="11" t="str">
        <f>Cek_A!R17</f>
        <v/>
      </c>
      <c r="V5" s="11" t="str">
        <f>Cek_A!S17</f>
        <v/>
      </c>
      <c r="W5" s="11" t="str">
        <f>Cek_A!T17</f>
        <v/>
      </c>
      <c r="X5" s="11" t="str">
        <f>Cek_A!U17</f>
        <v/>
      </c>
      <c r="Y5" s="11" t="str">
        <f>Cek_A!V17</f>
        <v/>
      </c>
      <c r="Z5" s="11" t="str">
        <f>Cek_A!W17</f>
        <v/>
      </c>
      <c r="AA5" s="11" t="str">
        <f>Cek_A!X17</f>
        <v/>
      </c>
      <c r="AB5" s="11" t="str">
        <f>Cek_A!Y17</f>
        <v/>
      </c>
    </row>
    <row r="6" spans="8:8">
      <c r="A6" s="7">
        <v>4.0</v>
      </c>
      <c r="B6" s="7" t="s">
        <v>1059</v>
      </c>
      <c r="C6" s="47" t="s">
        <v>1138</v>
      </c>
      <c r="D6" s="7" t="s">
        <v>783</v>
      </c>
      <c r="E6" s="48" t="s">
        <v>784</v>
      </c>
      <c r="F6" s="7">
        <v>4.0</v>
      </c>
      <c r="G6" s="9" t="str">
        <f>_xlfn.IFERROR(AVERAGE(H6:AB6)+ROW()*0.0000001,"")</f>
        <v/>
      </c>
      <c r="H6" s="11" t="str">
        <f>Cek_A!E23</f>
        <v/>
      </c>
      <c r="I6" s="11" t="str">
        <f>Cek_A!F23</f>
        <v/>
      </c>
      <c r="J6" s="11" t="str">
        <f>Cek_A!G23</f>
        <v/>
      </c>
      <c r="K6" s="11" t="str">
        <f>Cek_A!H23</f>
        <v/>
      </c>
      <c r="L6" s="11" t="str">
        <f>Cek_A!I23</f>
        <v/>
      </c>
      <c r="M6" s="11" t="str">
        <f>Cek_A!J23</f>
        <v/>
      </c>
      <c r="N6" s="11" t="str">
        <f>Cek_A!K23</f>
        <v/>
      </c>
      <c r="O6" s="11" t="str">
        <f>Cek_A!L23</f>
        <v/>
      </c>
      <c r="P6" s="11" t="str">
        <f>Cek_A!M23</f>
        <v/>
      </c>
      <c r="Q6" s="11" t="str">
        <f>Cek_A!N23</f>
        <v/>
      </c>
      <c r="R6" s="11" t="str">
        <f>Cek_A!O23</f>
        <v/>
      </c>
      <c r="S6" s="11" t="str">
        <f>Cek_A!P23</f>
        <v/>
      </c>
      <c r="T6" s="11" t="str">
        <f>Cek_A!Q23</f>
        <v/>
      </c>
      <c r="U6" s="11" t="str">
        <f>Cek_A!R23</f>
        <v/>
      </c>
      <c r="V6" s="11" t="str">
        <f>Cek_A!S23</f>
        <v/>
      </c>
      <c r="W6" s="11" t="str">
        <f>Cek_A!T23</f>
        <v/>
      </c>
      <c r="X6" s="11" t="str">
        <f>Cek_A!U23</f>
        <v/>
      </c>
      <c r="Y6" s="11" t="str">
        <f>Cek_A!V23</f>
        <v/>
      </c>
      <c r="Z6" s="11" t="str">
        <f>Cek_A!W23</f>
        <v/>
      </c>
      <c r="AA6" s="11" t="str">
        <f>Cek_A!X23</f>
        <v/>
      </c>
      <c r="AB6" s="11" t="str">
        <f>Cek_A!Y23</f>
        <v/>
      </c>
    </row>
    <row r="7" spans="8:8">
      <c r="A7" s="7">
        <v>5.0</v>
      </c>
      <c r="B7" s="7" t="s">
        <v>1059</v>
      </c>
      <c r="C7" s="47" t="s">
        <v>1138</v>
      </c>
      <c r="D7" s="7" t="s">
        <v>795</v>
      </c>
      <c r="E7" s="48" t="s">
        <v>796</v>
      </c>
      <c r="F7" s="7">
        <v>4.0</v>
      </c>
      <c r="G7" s="9" t="str">
        <f>_xlfn.IFERROR(AVERAGE(H7:AB7)+ROW()*0.0000001,"")</f>
        <v/>
      </c>
      <c r="H7" s="11" t="str">
        <f>Cek_A!E29</f>
        <v/>
      </c>
      <c r="I7" s="11" t="str">
        <f>Cek_A!F29</f>
        <v/>
      </c>
      <c r="J7" s="11" t="str">
        <f>Cek_A!G29</f>
        <v/>
      </c>
      <c r="K7" s="11" t="str">
        <f>Cek_A!H29</f>
        <v/>
      </c>
      <c r="L7" s="11" t="str">
        <f>Cek_A!I29</f>
        <v/>
      </c>
      <c r="M7" s="11" t="str">
        <f>Cek_A!J29</f>
        <v/>
      </c>
      <c r="N7" s="11" t="str">
        <f>Cek_A!K29</f>
        <v/>
      </c>
      <c r="O7" s="11" t="str">
        <f>Cek_A!L29</f>
        <v/>
      </c>
      <c r="P7" s="11" t="str">
        <f>Cek_A!M29</f>
        <v/>
      </c>
      <c r="Q7" s="11" t="str">
        <f>Cek_A!N29</f>
        <v/>
      </c>
      <c r="R7" s="11" t="str">
        <f>Cek_A!O29</f>
        <v/>
      </c>
      <c r="S7" s="11" t="str">
        <f>Cek_A!P29</f>
        <v/>
      </c>
      <c r="T7" s="11" t="str">
        <f>Cek_A!Q29</f>
        <v/>
      </c>
      <c r="U7" s="11" t="str">
        <f>Cek_A!R29</f>
        <v/>
      </c>
      <c r="V7" s="11" t="str">
        <f>Cek_A!S29</f>
        <v/>
      </c>
      <c r="W7" s="11" t="str">
        <f>Cek_A!T29</f>
        <v/>
      </c>
      <c r="X7" s="11" t="str">
        <f>Cek_A!U29</f>
        <v/>
      </c>
      <c r="Y7" s="11" t="str">
        <f>Cek_A!V29</f>
        <v/>
      </c>
      <c r="Z7" s="11" t="str">
        <f>Cek_A!W29</f>
        <v/>
      </c>
      <c r="AA7" s="11" t="str">
        <f>Cek_A!X29</f>
        <v/>
      </c>
      <c r="AB7" s="11" t="str">
        <f>Cek_A!Y29</f>
        <v/>
      </c>
    </row>
    <row r="8" spans="8:8">
      <c r="A8" s="7">
        <v>6.0</v>
      </c>
      <c r="B8" s="7" t="s">
        <v>1059</v>
      </c>
      <c r="C8" s="47" t="s">
        <v>1139</v>
      </c>
      <c r="D8" s="7" t="s">
        <v>809</v>
      </c>
      <c r="E8" s="48" t="s">
        <v>810</v>
      </c>
      <c r="F8" s="7">
        <v>4.0</v>
      </c>
      <c r="G8" s="9" t="str">
        <f>_xlfn.IFERROR(AVERAGE(H8:AB8)+ROW()*0.0000001,"")</f>
        <v/>
      </c>
      <c r="H8" s="11" t="str">
        <f>Cek_A!E37</f>
        <v/>
      </c>
      <c r="I8" s="11" t="str">
        <f>Cek_A!F37</f>
        <v/>
      </c>
      <c r="J8" s="11" t="str">
        <f>Cek_A!G37</f>
        <v/>
      </c>
      <c r="K8" s="11" t="str">
        <f>Cek_A!H37</f>
        <v/>
      </c>
      <c r="L8" s="11" t="str">
        <f>Cek_A!I37</f>
        <v/>
      </c>
      <c r="M8" s="11" t="str">
        <f>Cek_A!J37</f>
        <v/>
      </c>
      <c r="N8" s="11" t="str">
        <f>Cek_A!K37</f>
        <v/>
      </c>
      <c r="O8" s="11" t="str">
        <f>Cek_A!L37</f>
        <v/>
      </c>
      <c r="P8" s="11" t="str">
        <f>Cek_A!M37</f>
        <v/>
      </c>
      <c r="Q8" s="11" t="str">
        <f>Cek_A!N37</f>
        <v/>
      </c>
      <c r="R8" s="11" t="str">
        <f>Cek_A!O37</f>
        <v/>
      </c>
      <c r="S8" s="11" t="str">
        <f>Cek_A!P37</f>
        <v/>
      </c>
      <c r="T8" s="11" t="str">
        <f>Cek_A!Q37</f>
        <v/>
      </c>
      <c r="U8" s="11" t="str">
        <f>Cek_A!R37</f>
        <v/>
      </c>
      <c r="V8" s="11" t="str">
        <f>Cek_A!S37</f>
        <v/>
      </c>
      <c r="W8" s="11" t="str">
        <f>Cek_A!T37</f>
        <v/>
      </c>
      <c r="X8" s="11" t="str">
        <f>Cek_A!U37</f>
        <v/>
      </c>
      <c r="Y8" s="11" t="str">
        <f>Cek_A!V37</f>
        <v/>
      </c>
      <c r="Z8" s="11" t="str">
        <f>Cek_A!W37</f>
        <v/>
      </c>
      <c r="AA8" s="11" t="str">
        <f>Cek_A!X37</f>
        <v/>
      </c>
      <c r="AB8" s="11" t="str">
        <f>Cek_A!Y37</f>
        <v/>
      </c>
    </row>
    <row r="9" spans="8:8">
      <c r="A9" s="7">
        <v>7.0</v>
      </c>
      <c r="B9" s="7" t="s">
        <v>1059</v>
      </c>
      <c r="C9" s="47" t="s">
        <v>1139</v>
      </c>
      <c r="D9" s="7" t="s">
        <v>821</v>
      </c>
      <c r="E9" s="48" t="s">
        <v>822</v>
      </c>
      <c r="F9" s="7">
        <v>4.0</v>
      </c>
      <c r="G9" s="9" t="str">
        <f>_xlfn.IFERROR(AVERAGE(H9:AB9)+ROW()*0.0000001,"")</f>
        <v/>
      </c>
      <c r="H9" s="11" t="str">
        <f>Cek_A!E43</f>
        <v/>
      </c>
      <c r="I9" s="11" t="str">
        <f>Cek_A!F43</f>
        <v/>
      </c>
      <c r="J9" s="11" t="str">
        <f>Cek_A!G43</f>
        <v/>
      </c>
      <c r="K9" s="11" t="str">
        <f>Cek_A!H43</f>
        <v/>
      </c>
      <c r="L9" s="11" t="str">
        <f>Cek_A!I43</f>
        <v/>
      </c>
      <c r="M9" s="11" t="str">
        <f>Cek_A!J43</f>
        <v/>
      </c>
      <c r="N9" s="11" t="str">
        <f>Cek_A!K43</f>
        <v/>
      </c>
      <c r="O9" s="11" t="str">
        <f>Cek_A!L43</f>
        <v/>
      </c>
      <c r="P9" s="11" t="str">
        <f>Cek_A!M43</f>
        <v/>
      </c>
      <c r="Q9" s="11" t="str">
        <f>Cek_A!N43</f>
        <v/>
      </c>
      <c r="R9" s="11" t="str">
        <f>Cek_A!O43</f>
        <v/>
      </c>
      <c r="S9" s="11" t="str">
        <f>Cek_A!P43</f>
        <v/>
      </c>
      <c r="T9" s="11" t="str">
        <f>Cek_A!Q43</f>
        <v/>
      </c>
      <c r="U9" s="11" t="str">
        <f>Cek_A!R43</f>
        <v/>
      </c>
      <c r="V9" s="11" t="str">
        <f>Cek_A!S43</f>
        <v/>
      </c>
      <c r="W9" s="11" t="str">
        <f>Cek_A!T43</f>
        <v/>
      </c>
      <c r="X9" s="11" t="str">
        <f>Cek_A!U43</f>
        <v/>
      </c>
      <c r="Y9" s="11" t="str">
        <f>Cek_A!V43</f>
        <v/>
      </c>
      <c r="Z9" s="11" t="str">
        <f>Cek_A!W43</f>
        <v/>
      </c>
      <c r="AA9" s="11" t="str">
        <f>Cek_A!X43</f>
        <v/>
      </c>
      <c r="AB9" s="11" t="str">
        <f>Cek_A!Y43</f>
        <v/>
      </c>
    </row>
    <row r="10" spans="8:8">
      <c r="A10" s="7">
        <v>8.0</v>
      </c>
      <c r="B10" s="7" t="s">
        <v>1059</v>
      </c>
      <c r="C10" s="47" t="s">
        <v>1139</v>
      </c>
      <c r="D10" s="7" t="s">
        <v>833</v>
      </c>
      <c r="E10" s="48" t="s">
        <v>834</v>
      </c>
      <c r="F10" s="7">
        <v>4.0</v>
      </c>
      <c r="G10" s="9" t="str">
        <f>_xlfn.IFERROR(AVERAGE(H10:AB10)+ROW()*0.0000001,"")</f>
        <v/>
      </c>
      <c r="H10" s="11" t="str">
        <f>Cek_A!E49</f>
        <v/>
      </c>
      <c r="I10" s="11" t="str">
        <f>Cek_A!F49</f>
        <v/>
      </c>
      <c r="J10" s="11" t="str">
        <f>Cek_A!G49</f>
        <v/>
      </c>
      <c r="K10" s="11" t="str">
        <f>Cek_A!H49</f>
        <v/>
      </c>
      <c r="L10" s="11" t="str">
        <f>Cek_A!I49</f>
        <v/>
      </c>
      <c r="M10" s="11" t="str">
        <f>Cek_A!J49</f>
        <v/>
      </c>
      <c r="N10" s="11" t="str">
        <f>Cek_A!K49</f>
        <v/>
      </c>
      <c r="O10" s="11" t="str">
        <f>Cek_A!L49</f>
        <v/>
      </c>
      <c r="P10" s="11" t="str">
        <f>Cek_A!M49</f>
        <v/>
      </c>
      <c r="Q10" s="11" t="str">
        <f>Cek_A!N49</f>
        <v/>
      </c>
      <c r="R10" s="11" t="str">
        <f>Cek_A!O49</f>
        <v/>
      </c>
      <c r="S10" s="11" t="str">
        <f>Cek_A!P49</f>
        <v/>
      </c>
      <c r="T10" s="11" t="str">
        <f>Cek_A!Q49</f>
        <v/>
      </c>
      <c r="U10" s="11" t="str">
        <f>Cek_A!R49</f>
        <v/>
      </c>
      <c r="V10" s="11" t="str">
        <f>Cek_A!S49</f>
        <v/>
      </c>
      <c r="W10" s="11" t="str">
        <f>Cek_A!T49</f>
        <v/>
      </c>
      <c r="X10" s="11" t="str">
        <f>Cek_A!U49</f>
        <v/>
      </c>
      <c r="Y10" s="11" t="str">
        <f>Cek_A!V49</f>
        <v/>
      </c>
      <c r="Z10" s="11" t="str">
        <f>Cek_A!W49</f>
        <v/>
      </c>
      <c r="AA10" s="11" t="str">
        <f>Cek_A!X49</f>
        <v/>
      </c>
      <c r="AB10" s="11" t="str">
        <f>Cek_A!Y49</f>
        <v/>
      </c>
    </row>
    <row r="11" spans="8:8">
      <c r="A11" s="7">
        <v>9.0</v>
      </c>
      <c r="B11" s="7" t="s">
        <v>1059</v>
      </c>
      <c r="C11" s="47" t="s">
        <v>1139</v>
      </c>
      <c r="D11" s="7" t="s">
        <v>845</v>
      </c>
      <c r="E11" s="48" t="s">
        <v>846</v>
      </c>
      <c r="F11" s="7">
        <v>4.0</v>
      </c>
      <c r="G11" s="9" t="str">
        <f>_xlfn.IFERROR(AVERAGE(H11:AB11)+ROW()*0.0000001,"")</f>
        <v/>
      </c>
      <c r="H11" s="11" t="str">
        <f>Cek_A!E55</f>
        <v/>
      </c>
      <c r="I11" s="11" t="str">
        <f>Cek_A!F55</f>
        <v/>
      </c>
      <c r="J11" s="11" t="str">
        <f>Cek_A!G55</f>
        <v/>
      </c>
      <c r="K11" s="11" t="str">
        <f>Cek_A!H55</f>
        <v/>
      </c>
      <c r="L11" s="11" t="str">
        <f>Cek_A!I55</f>
        <v/>
      </c>
      <c r="M11" s="11" t="str">
        <f>Cek_A!J55</f>
        <v/>
      </c>
      <c r="N11" s="11" t="str">
        <f>Cek_A!K55</f>
        <v/>
      </c>
      <c r="O11" s="11" t="str">
        <f>Cek_A!L55</f>
        <v/>
      </c>
      <c r="P11" s="11" t="str">
        <f>Cek_A!M55</f>
        <v/>
      </c>
      <c r="Q11" s="11" t="str">
        <f>Cek_A!N55</f>
        <v/>
      </c>
      <c r="R11" s="11" t="str">
        <f>Cek_A!O55</f>
        <v/>
      </c>
      <c r="S11" s="11" t="str">
        <f>Cek_A!P55</f>
        <v/>
      </c>
      <c r="T11" s="11" t="str">
        <f>Cek_A!Q55</f>
        <v/>
      </c>
      <c r="U11" s="11" t="str">
        <f>Cek_A!R55</f>
        <v/>
      </c>
      <c r="V11" s="11" t="str">
        <f>Cek_A!S55</f>
        <v/>
      </c>
      <c r="W11" s="11" t="str">
        <f>Cek_A!T55</f>
        <v/>
      </c>
      <c r="X11" s="11" t="str">
        <f>Cek_A!U55</f>
        <v/>
      </c>
      <c r="Y11" s="11" t="str">
        <f>Cek_A!V55</f>
        <v/>
      </c>
      <c r="Z11" s="11" t="str">
        <f>Cek_A!W55</f>
        <v/>
      </c>
      <c r="AA11" s="11" t="str">
        <f>Cek_A!X55</f>
        <v/>
      </c>
      <c r="AB11" s="11" t="str">
        <f>Cek_A!Y55</f>
        <v/>
      </c>
    </row>
    <row r="12" spans="8:8">
      <c r="A12" s="7">
        <v>10.0</v>
      </c>
      <c r="B12" s="7" t="s">
        <v>1059</v>
      </c>
      <c r="C12" s="47" t="s">
        <v>1139</v>
      </c>
      <c r="D12" s="7" t="s">
        <v>857</v>
      </c>
      <c r="E12" s="48" t="s">
        <v>858</v>
      </c>
      <c r="F12" s="7">
        <v>4.0</v>
      </c>
      <c r="G12" s="9" t="str">
        <f>_xlfn.IFERROR(AVERAGE(H12:AB12)+ROW()*0.0000001,"")</f>
        <v/>
      </c>
      <c r="H12" s="11" t="str">
        <f>Cek_A!E61</f>
        <v/>
      </c>
      <c r="I12" s="11" t="str">
        <f>Cek_A!F61</f>
        <v/>
      </c>
      <c r="J12" s="11" t="str">
        <f>Cek_A!G61</f>
        <v/>
      </c>
      <c r="K12" s="11" t="str">
        <f>Cek_A!H61</f>
        <v/>
      </c>
      <c r="L12" s="11" t="str">
        <f>Cek_A!I61</f>
        <v/>
      </c>
      <c r="M12" s="11" t="str">
        <f>Cek_A!J61</f>
        <v/>
      </c>
      <c r="N12" s="11" t="str">
        <f>Cek_A!K61</f>
        <v/>
      </c>
      <c r="O12" s="11" t="str">
        <f>Cek_A!L61</f>
        <v/>
      </c>
      <c r="P12" s="11" t="str">
        <f>Cek_A!M61</f>
        <v/>
      </c>
      <c r="Q12" s="11" t="str">
        <f>Cek_A!N61</f>
        <v/>
      </c>
      <c r="R12" s="11" t="str">
        <f>Cek_A!O61</f>
        <v/>
      </c>
      <c r="S12" s="11" t="str">
        <f>Cek_A!P61</f>
        <v/>
      </c>
      <c r="T12" s="11" t="str">
        <f>Cek_A!Q61</f>
        <v/>
      </c>
      <c r="U12" s="11" t="str">
        <f>Cek_A!R61</f>
        <v/>
      </c>
      <c r="V12" s="11" t="str">
        <f>Cek_A!S61</f>
        <v/>
      </c>
      <c r="W12" s="11" t="str">
        <f>Cek_A!T61</f>
        <v/>
      </c>
      <c r="X12" s="11" t="str">
        <f>Cek_A!U61</f>
        <v/>
      </c>
      <c r="Y12" s="11" t="str">
        <f>Cek_A!V61</f>
        <v/>
      </c>
      <c r="Z12" s="11" t="str">
        <f>Cek_A!W61</f>
        <v/>
      </c>
      <c r="AA12" s="11" t="str">
        <f>Cek_A!X61</f>
        <v/>
      </c>
      <c r="AB12" s="11" t="str">
        <f>Cek_A!Y61</f>
        <v/>
      </c>
    </row>
    <row r="13" spans="8:8">
      <c r="A13" s="7">
        <v>11.0</v>
      </c>
      <c r="B13" s="7" t="s">
        <v>1059</v>
      </c>
      <c r="C13" s="47" t="s">
        <v>1140</v>
      </c>
      <c r="D13" s="7" t="s">
        <v>57</v>
      </c>
      <c r="E13" s="48" t="s">
        <v>871</v>
      </c>
      <c r="F13" s="7">
        <v>4.0</v>
      </c>
      <c r="G13" s="9" t="str">
        <f>_xlfn.IFERROR(AVERAGE(H13:AB13)+ROW()*0.0000001,"")</f>
        <v/>
      </c>
      <c r="H13" s="11" t="str">
        <f>Cek_A!E69</f>
        <v/>
      </c>
      <c r="I13" s="11" t="str">
        <f>Cek_A!F69</f>
        <v/>
      </c>
      <c r="J13" s="11" t="str">
        <f>Cek_A!G69</f>
        <v/>
      </c>
      <c r="K13" s="11" t="str">
        <f>Cek_A!H69</f>
        <v/>
      </c>
      <c r="L13" s="11" t="str">
        <f>Cek_A!I69</f>
        <v/>
      </c>
      <c r="M13" s="11" t="str">
        <f>Cek_A!J69</f>
        <v/>
      </c>
      <c r="N13" s="11" t="str">
        <f>Cek_A!K69</f>
        <v/>
      </c>
      <c r="O13" s="11" t="str">
        <f>Cek_A!L69</f>
        <v/>
      </c>
      <c r="P13" s="11" t="str">
        <f>Cek_A!M69</f>
        <v/>
      </c>
      <c r="Q13" s="11" t="str">
        <f>Cek_A!N69</f>
        <v/>
      </c>
      <c r="R13" s="11" t="str">
        <f>Cek_A!O69</f>
        <v/>
      </c>
      <c r="S13" s="11" t="str">
        <f>Cek_A!P69</f>
        <v/>
      </c>
      <c r="T13" s="11" t="str">
        <f>Cek_A!Q69</f>
        <v/>
      </c>
      <c r="U13" s="11" t="str">
        <f>Cek_A!R69</f>
        <v/>
      </c>
      <c r="V13" s="11" t="str">
        <f>Cek_A!S69</f>
        <v/>
      </c>
      <c r="W13" s="11" t="str">
        <f>Cek_A!T69</f>
        <v/>
      </c>
      <c r="X13" s="11" t="str">
        <f>Cek_A!U69</f>
        <v/>
      </c>
      <c r="Y13" s="11" t="str">
        <f>Cek_A!V69</f>
        <v/>
      </c>
      <c r="Z13" s="11" t="str">
        <f>Cek_A!W69</f>
        <v/>
      </c>
      <c r="AA13" s="11" t="str">
        <f>Cek_A!X69</f>
        <v/>
      </c>
      <c r="AB13" s="11" t="str">
        <f>Cek_A!Y69</f>
        <v/>
      </c>
    </row>
    <row r="14" spans="8:8">
      <c r="A14" s="7">
        <v>12.0</v>
      </c>
      <c r="B14" s="7" t="s">
        <v>1059</v>
      </c>
      <c r="C14" s="47" t="s">
        <v>1140</v>
      </c>
      <c r="D14" s="7" t="s">
        <v>69</v>
      </c>
      <c r="E14" s="48" t="s">
        <v>877</v>
      </c>
      <c r="F14" s="7">
        <v>4.0</v>
      </c>
      <c r="G14" s="9" t="str">
        <f>_xlfn.IFERROR(AVERAGE(H14:AB14)+ROW()*0.0000001,"")</f>
        <v/>
      </c>
      <c r="H14" s="11" t="str">
        <f>Cek_A!E75</f>
        <v/>
      </c>
      <c r="I14" s="11" t="str">
        <f>Cek_A!F75</f>
        <v/>
      </c>
      <c r="J14" s="11" t="str">
        <f>Cek_A!G75</f>
        <v/>
      </c>
      <c r="K14" s="11" t="str">
        <f>Cek_A!H75</f>
        <v/>
      </c>
      <c r="L14" s="11" t="str">
        <f>Cek_A!I75</f>
        <v/>
      </c>
      <c r="M14" s="11" t="str">
        <f>Cek_A!J75</f>
        <v/>
      </c>
      <c r="N14" s="11" t="str">
        <f>Cek_A!K75</f>
        <v/>
      </c>
      <c r="O14" s="11" t="str">
        <f>Cek_A!L75</f>
        <v/>
      </c>
      <c r="P14" s="11" t="str">
        <f>Cek_A!M75</f>
        <v/>
      </c>
      <c r="Q14" s="11" t="str">
        <f>Cek_A!N75</f>
        <v/>
      </c>
      <c r="R14" s="11" t="str">
        <f>Cek_A!O75</f>
        <v/>
      </c>
      <c r="S14" s="11" t="str">
        <f>Cek_A!P75</f>
        <v/>
      </c>
      <c r="T14" s="11" t="str">
        <f>Cek_A!Q75</f>
        <v/>
      </c>
      <c r="U14" s="11" t="str">
        <f>Cek_A!R75</f>
        <v/>
      </c>
      <c r="V14" s="11" t="str">
        <f>Cek_A!S75</f>
        <v/>
      </c>
      <c r="W14" s="11" t="str">
        <f>Cek_A!T75</f>
        <v/>
      </c>
      <c r="X14" s="11" t="str">
        <f>Cek_A!U75</f>
        <v/>
      </c>
      <c r="Y14" s="11" t="str">
        <f>Cek_A!V75</f>
        <v/>
      </c>
      <c r="Z14" s="11" t="str">
        <f>Cek_A!W75</f>
        <v/>
      </c>
      <c r="AA14" s="11" t="str">
        <f>Cek_A!X75</f>
        <v/>
      </c>
      <c r="AB14" s="11" t="str">
        <f>Cek_A!Y75</f>
        <v/>
      </c>
    </row>
    <row r="15" spans="8:8">
      <c r="A15" s="7">
        <v>13.0</v>
      </c>
      <c r="B15" s="7" t="s">
        <v>1059</v>
      </c>
      <c r="C15" s="47" t="s">
        <v>1140</v>
      </c>
      <c r="D15" s="7" t="s">
        <v>81</v>
      </c>
      <c r="E15" s="48" t="s">
        <v>883</v>
      </c>
      <c r="F15" s="7">
        <v>4.0</v>
      </c>
      <c r="G15" s="9" t="str">
        <f>_xlfn.IFERROR(AVERAGE(H15:AB15)+ROW()*0.0000001,"")</f>
        <v/>
      </c>
      <c r="H15" s="11" t="str">
        <f>Cek_A!E81</f>
        <v/>
      </c>
      <c r="I15" s="11" t="str">
        <f>Cek_A!F81</f>
        <v/>
      </c>
      <c r="J15" s="11" t="str">
        <f>Cek_A!G81</f>
        <v/>
      </c>
      <c r="K15" s="11" t="str">
        <f>Cek_A!H81</f>
        <v/>
      </c>
      <c r="L15" s="11" t="str">
        <f>Cek_A!I81</f>
        <v/>
      </c>
      <c r="M15" s="11" t="str">
        <f>Cek_A!J81</f>
        <v/>
      </c>
      <c r="N15" s="11" t="str">
        <f>Cek_A!K81</f>
        <v/>
      </c>
      <c r="O15" s="11" t="str">
        <f>Cek_A!L81</f>
        <v/>
      </c>
      <c r="P15" s="11" t="str">
        <f>Cek_A!M81</f>
        <v/>
      </c>
      <c r="Q15" s="11" t="str">
        <f>Cek_A!N81</f>
        <v/>
      </c>
      <c r="R15" s="11" t="str">
        <f>Cek_A!O81</f>
        <v/>
      </c>
      <c r="S15" s="11" t="str">
        <f>Cek_A!P81</f>
        <v/>
      </c>
      <c r="T15" s="11" t="str">
        <f>Cek_A!Q81</f>
        <v/>
      </c>
      <c r="U15" s="11" t="str">
        <f>Cek_A!R81</f>
        <v/>
      </c>
      <c r="V15" s="11" t="str">
        <f>Cek_A!S81</f>
        <v/>
      </c>
      <c r="W15" s="11" t="str">
        <f>Cek_A!T81</f>
        <v/>
      </c>
      <c r="X15" s="11" t="str">
        <f>Cek_A!U81</f>
        <v/>
      </c>
      <c r="Y15" s="11" t="str">
        <f>Cek_A!V81</f>
        <v/>
      </c>
      <c r="Z15" s="11" t="str">
        <f>Cek_A!W81</f>
        <v/>
      </c>
      <c r="AA15" s="11" t="str">
        <f>Cek_A!X81</f>
        <v/>
      </c>
      <c r="AB15" s="11" t="str">
        <f>Cek_A!Y81</f>
        <v/>
      </c>
    </row>
    <row r="16" spans="8:8">
      <c r="A16" s="7">
        <v>14.0</v>
      </c>
      <c r="B16" s="7" t="s">
        <v>1059</v>
      </c>
      <c r="C16" s="47" t="s">
        <v>1140</v>
      </c>
      <c r="D16" s="7" t="s">
        <v>93</v>
      </c>
      <c r="E16" s="48" t="s">
        <v>889</v>
      </c>
      <c r="F16" s="7">
        <v>4.0</v>
      </c>
      <c r="G16" s="9" t="str">
        <f>_xlfn.IFERROR(AVERAGE(H16:AB16)+ROW()*0.0000001,"")</f>
        <v/>
      </c>
      <c r="H16" s="11" t="str">
        <f>Cek_A!E87</f>
        <v/>
      </c>
      <c r="I16" s="11" t="str">
        <f>Cek_A!F87</f>
        <v/>
      </c>
      <c r="J16" s="11" t="str">
        <f>Cek_A!G87</f>
        <v/>
      </c>
      <c r="K16" s="11" t="str">
        <f>Cek_A!H87</f>
        <v/>
      </c>
      <c r="L16" s="11" t="str">
        <f>Cek_A!I87</f>
        <v/>
      </c>
      <c r="M16" s="11" t="str">
        <f>Cek_A!J87</f>
        <v/>
      </c>
      <c r="N16" s="11" t="str">
        <f>Cek_A!K87</f>
        <v/>
      </c>
      <c r="O16" s="11" t="str">
        <f>Cek_A!L87</f>
        <v/>
      </c>
      <c r="P16" s="11" t="str">
        <f>Cek_A!M87</f>
        <v/>
      </c>
      <c r="Q16" s="11" t="str">
        <f>Cek_A!N87</f>
        <v/>
      </c>
      <c r="R16" s="11" t="str">
        <f>Cek_A!O87</f>
        <v/>
      </c>
      <c r="S16" s="11" t="str">
        <f>Cek_A!P87</f>
        <v/>
      </c>
      <c r="T16" s="11" t="str">
        <f>Cek_A!Q87</f>
        <v/>
      </c>
      <c r="U16" s="11" t="str">
        <f>Cek_A!R87</f>
        <v/>
      </c>
      <c r="V16" s="11" t="str">
        <f>Cek_A!S87</f>
        <v/>
      </c>
      <c r="W16" s="11" t="str">
        <f>Cek_A!T87</f>
        <v/>
      </c>
      <c r="X16" s="11" t="str">
        <f>Cek_A!U87</f>
        <v/>
      </c>
      <c r="Y16" s="11" t="str">
        <f>Cek_A!V87</f>
        <v/>
      </c>
      <c r="Z16" s="11" t="str">
        <f>Cek_A!W87</f>
        <v/>
      </c>
      <c r="AA16" s="11" t="str">
        <f>Cek_A!X87</f>
        <v/>
      </c>
      <c r="AB16" s="11" t="str">
        <f>Cek_A!Y87</f>
        <v/>
      </c>
    </row>
    <row r="17" spans="8:8">
      <c r="A17" s="7">
        <v>15.0</v>
      </c>
      <c r="B17" s="7" t="s">
        <v>1059</v>
      </c>
      <c r="C17" s="47" t="s">
        <v>1140</v>
      </c>
      <c r="D17" s="7" t="s">
        <v>107</v>
      </c>
      <c r="E17" s="48" t="s">
        <v>895</v>
      </c>
      <c r="F17" s="7">
        <v>4.0</v>
      </c>
      <c r="G17" s="9" t="str">
        <f>_xlfn.IFERROR(AVERAGE(H17:AB17)+ROW()*0.0000001,"")</f>
        <v/>
      </c>
      <c r="H17" s="11" t="str">
        <f>Cek_A!E93</f>
        <v/>
      </c>
      <c r="I17" s="11" t="str">
        <f>Cek_A!F93</f>
        <v/>
      </c>
      <c r="J17" s="11" t="str">
        <f>Cek_A!G93</f>
        <v/>
      </c>
      <c r="K17" s="11" t="str">
        <f>Cek_A!H93</f>
        <v/>
      </c>
      <c r="L17" s="11" t="str">
        <f>Cek_A!I93</f>
        <v/>
      </c>
      <c r="M17" s="11" t="str">
        <f>Cek_A!J93</f>
        <v/>
      </c>
      <c r="N17" s="11" t="str">
        <f>Cek_A!K93</f>
        <v/>
      </c>
      <c r="O17" s="11" t="str">
        <f>Cek_A!L93</f>
        <v/>
      </c>
      <c r="P17" s="11" t="str">
        <f>Cek_A!M93</f>
        <v/>
      </c>
      <c r="Q17" s="11" t="str">
        <f>Cek_A!N93</f>
        <v/>
      </c>
      <c r="R17" s="11" t="str">
        <f>Cek_A!O93</f>
        <v/>
      </c>
      <c r="S17" s="11" t="str">
        <f>Cek_A!P93</f>
        <v/>
      </c>
      <c r="T17" s="11" t="str">
        <f>Cek_A!Q93</f>
        <v/>
      </c>
      <c r="U17" s="11" t="str">
        <f>Cek_A!R93</f>
        <v/>
      </c>
      <c r="V17" s="11" t="str">
        <f>Cek_A!S93</f>
        <v/>
      </c>
      <c r="W17" s="11" t="str">
        <f>Cek_A!T93</f>
        <v/>
      </c>
      <c r="X17" s="11" t="str">
        <f>Cek_A!U93</f>
        <v/>
      </c>
      <c r="Y17" s="11" t="str">
        <f>Cek_A!V93</f>
        <v/>
      </c>
      <c r="Z17" s="11" t="str">
        <f>Cek_A!W93</f>
        <v/>
      </c>
      <c r="AA17" s="11" t="str">
        <f>Cek_A!X93</f>
        <v/>
      </c>
      <c r="AB17" s="11" t="str">
        <f>Cek_A!Y93</f>
        <v/>
      </c>
    </row>
    <row r="18" spans="8:8">
      <c r="A18" s="7">
        <v>16.0</v>
      </c>
      <c r="B18" s="7" t="s">
        <v>1059</v>
      </c>
      <c r="C18" s="47" t="s">
        <v>1141</v>
      </c>
      <c r="D18" s="7" t="s">
        <v>12</v>
      </c>
      <c r="E18" s="48" t="s">
        <v>903</v>
      </c>
      <c r="F18" s="7">
        <v>4.0</v>
      </c>
      <c r="G18" s="9" t="str">
        <f>_xlfn.IFERROR(AVERAGE(H18:AB18)+ROW()*0.0000001,"")</f>
        <v/>
      </c>
      <c r="H18" s="11" t="str">
        <f>Cek_A!E101</f>
        <v/>
      </c>
      <c r="I18" s="11" t="str">
        <f>Cek_A!F101</f>
        <v/>
      </c>
      <c r="J18" s="11" t="str">
        <f>Cek_A!G101</f>
        <v/>
      </c>
      <c r="K18" s="11" t="str">
        <f>Cek_A!H101</f>
        <v/>
      </c>
      <c r="L18" s="11" t="str">
        <f>Cek_A!I101</f>
        <v/>
      </c>
      <c r="M18" s="11" t="str">
        <f>Cek_A!J101</f>
        <v/>
      </c>
      <c r="N18" s="11" t="str">
        <f>Cek_A!K101</f>
        <v/>
      </c>
      <c r="O18" s="11" t="str">
        <f>Cek_A!L101</f>
        <v/>
      </c>
      <c r="P18" s="11" t="str">
        <f>Cek_A!M101</f>
        <v/>
      </c>
      <c r="Q18" s="11" t="str">
        <f>Cek_A!N101</f>
        <v/>
      </c>
      <c r="R18" s="11" t="str">
        <f>Cek_A!O101</f>
        <v/>
      </c>
      <c r="S18" s="11" t="str">
        <f>Cek_A!P101</f>
        <v/>
      </c>
      <c r="T18" s="11" t="str">
        <f>Cek_A!Q101</f>
        <v/>
      </c>
      <c r="U18" s="11" t="str">
        <f>Cek_A!R101</f>
        <v/>
      </c>
      <c r="V18" s="11" t="str">
        <f>Cek_A!S101</f>
        <v/>
      </c>
      <c r="W18" s="11" t="str">
        <f>Cek_A!T101</f>
        <v/>
      </c>
      <c r="X18" s="11" t="str">
        <f>Cek_A!U101</f>
        <v/>
      </c>
      <c r="Y18" s="11" t="str">
        <f>Cek_A!V101</f>
        <v/>
      </c>
      <c r="Z18" s="11" t="str">
        <f>Cek_A!W101</f>
        <v/>
      </c>
      <c r="AA18" s="11" t="str">
        <f>Cek_A!X101</f>
        <v/>
      </c>
      <c r="AB18" s="11" t="str">
        <f>Cek_A!Y101</f>
        <v/>
      </c>
    </row>
    <row r="19" spans="8:8">
      <c r="A19" s="7">
        <v>17.0</v>
      </c>
      <c r="B19" s="7" t="s">
        <v>1059</v>
      </c>
      <c r="C19" s="47" t="s">
        <v>1141</v>
      </c>
      <c r="D19" s="7" t="s">
        <v>13</v>
      </c>
      <c r="E19" s="48" t="s">
        <v>914</v>
      </c>
      <c r="F19" s="7">
        <v>4.0</v>
      </c>
      <c r="G19" s="9" t="str">
        <f>_xlfn.IFERROR(AVERAGE(H19:AB19)+ROW()*0.0000001,"")</f>
        <v/>
      </c>
      <c r="H19" s="11" t="str">
        <f>Cek_A!E107</f>
        <v/>
      </c>
      <c r="I19" s="11" t="str">
        <f>Cek_A!F107</f>
        <v/>
      </c>
      <c r="J19" s="11" t="str">
        <f>Cek_A!G107</f>
        <v/>
      </c>
      <c r="K19" s="11" t="str">
        <f>Cek_A!H107</f>
        <v/>
      </c>
      <c r="L19" s="11" t="str">
        <f>Cek_A!I107</f>
        <v/>
      </c>
      <c r="M19" s="11" t="str">
        <f>Cek_A!J107</f>
        <v/>
      </c>
      <c r="N19" s="11" t="str">
        <f>Cek_A!K107</f>
        <v/>
      </c>
      <c r="O19" s="11" t="str">
        <f>Cek_A!L107</f>
        <v/>
      </c>
      <c r="P19" s="11" t="str">
        <f>Cek_A!M107</f>
        <v/>
      </c>
      <c r="Q19" s="11" t="str">
        <f>Cek_A!N107</f>
        <v/>
      </c>
      <c r="R19" s="11" t="str">
        <f>Cek_A!O107</f>
        <v/>
      </c>
      <c r="S19" s="11" t="str">
        <f>Cek_A!P107</f>
        <v/>
      </c>
      <c r="T19" s="11" t="str">
        <f>Cek_A!Q107</f>
        <v/>
      </c>
      <c r="U19" s="11" t="str">
        <f>Cek_A!R107</f>
        <v/>
      </c>
      <c r="V19" s="11" t="str">
        <f>Cek_A!S107</f>
        <v/>
      </c>
      <c r="W19" s="11" t="str">
        <f>Cek_A!T107</f>
        <v/>
      </c>
      <c r="X19" s="11" t="str">
        <f>Cek_A!U107</f>
        <v/>
      </c>
      <c r="Y19" s="11" t="str">
        <f>Cek_A!V107</f>
        <v/>
      </c>
      <c r="Z19" s="11" t="str">
        <f>Cek_A!W107</f>
        <v/>
      </c>
      <c r="AA19" s="11" t="str">
        <f>Cek_A!X107</f>
        <v/>
      </c>
      <c r="AB19" s="11" t="str">
        <f>Cek_A!Y107</f>
        <v/>
      </c>
    </row>
    <row r="20" spans="8:8">
      <c r="A20" s="7">
        <v>18.0</v>
      </c>
      <c r="B20" s="7" t="s">
        <v>1059</v>
      </c>
      <c r="C20" s="47" t="s">
        <v>1141</v>
      </c>
      <c r="D20" s="7" t="s">
        <v>14</v>
      </c>
      <c r="E20" s="48" t="s">
        <v>925</v>
      </c>
      <c r="F20" s="7">
        <v>4.0</v>
      </c>
      <c r="G20" s="9" t="str">
        <f>_xlfn.IFERROR(AVERAGE(H20:AB20)+ROW()*0.0000001,"")</f>
        <v/>
      </c>
      <c r="H20" s="11" t="str">
        <f>Cek_A!E113</f>
        <v/>
      </c>
      <c r="I20" s="11" t="str">
        <f>Cek_A!F113</f>
        <v/>
      </c>
      <c r="J20" s="11" t="str">
        <f>Cek_A!G113</f>
        <v/>
      </c>
      <c r="K20" s="11" t="str">
        <f>Cek_A!H113</f>
        <v/>
      </c>
      <c r="L20" s="11" t="str">
        <f>Cek_A!I113</f>
        <v/>
      </c>
      <c r="M20" s="11" t="str">
        <f>Cek_A!J113</f>
        <v/>
      </c>
      <c r="N20" s="11" t="str">
        <f>Cek_A!K113</f>
        <v/>
      </c>
      <c r="O20" s="11" t="str">
        <f>Cek_A!L113</f>
        <v/>
      </c>
      <c r="P20" s="11" t="str">
        <f>Cek_A!M113</f>
        <v/>
      </c>
      <c r="Q20" s="11" t="str">
        <f>Cek_A!N113</f>
        <v/>
      </c>
      <c r="R20" s="11" t="str">
        <f>Cek_A!O113</f>
        <v/>
      </c>
      <c r="S20" s="11" t="str">
        <f>Cek_A!P113</f>
        <v/>
      </c>
      <c r="T20" s="11" t="str">
        <f>Cek_A!Q113</f>
        <v/>
      </c>
      <c r="U20" s="11" t="str">
        <f>Cek_A!R113</f>
        <v/>
      </c>
      <c r="V20" s="11" t="str">
        <f>Cek_A!S113</f>
        <v/>
      </c>
      <c r="W20" s="11" t="str">
        <f>Cek_A!T113</f>
        <v/>
      </c>
      <c r="X20" s="11" t="str">
        <f>Cek_A!U113</f>
        <v/>
      </c>
      <c r="Y20" s="11" t="str">
        <f>Cek_A!V113</f>
        <v/>
      </c>
      <c r="Z20" s="11" t="str">
        <f>Cek_A!W113</f>
        <v/>
      </c>
      <c r="AA20" s="11" t="str">
        <f>Cek_A!X113</f>
        <v/>
      </c>
      <c r="AB20" s="11" t="str">
        <f>Cek_A!Y113</f>
        <v/>
      </c>
    </row>
    <row r="21" spans="8:8">
      <c r="A21" s="7">
        <v>19.0</v>
      </c>
      <c r="B21" s="7" t="s">
        <v>1059</v>
      </c>
      <c r="C21" s="47" t="s">
        <v>1141</v>
      </c>
      <c r="D21" s="7" t="s">
        <v>15</v>
      </c>
      <c r="E21" s="48" t="s">
        <v>936</v>
      </c>
      <c r="F21" s="7">
        <v>4.0</v>
      </c>
      <c r="G21" s="9" t="str">
        <f>_xlfn.IFERROR(AVERAGE(H21:AB21)+ROW()*0.0000001,"")</f>
        <v/>
      </c>
      <c r="H21" s="11" t="str">
        <f>Cek_A!E119</f>
        <v/>
      </c>
      <c r="I21" s="11" t="str">
        <f>Cek_A!F119</f>
        <v/>
      </c>
      <c r="J21" s="11" t="str">
        <f>Cek_A!G119</f>
        <v/>
      </c>
      <c r="K21" s="11" t="str">
        <f>Cek_A!H119</f>
        <v/>
      </c>
      <c r="L21" s="11" t="str">
        <f>Cek_A!I119</f>
        <v/>
      </c>
      <c r="M21" s="11" t="str">
        <f>Cek_A!J119</f>
        <v/>
      </c>
      <c r="N21" s="11" t="str">
        <f>Cek_A!K119</f>
        <v/>
      </c>
      <c r="O21" s="11" t="str">
        <f>Cek_A!L119</f>
        <v/>
      </c>
      <c r="P21" s="11" t="str">
        <f>Cek_A!M119</f>
        <v/>
      </c>
      <c r="Q21" s="11" t="str">
        <f>Cek_A!N119</f>
        <v/>
      </c>
      <c r="R21" s="11" t="str">
        <f>Cek_A!O119</f>
        <v/>
      </c>
      <c r="S21" s="11" t="str">
        <f>Cek_A!P119</f>
        <v/>
      </c>
      <c r="T21" s="11" t="str">
        <f>Cek_A!Q119</f>
        <v/>
      </c>
      <c r="U21" s="11" t="str">
        <f>Cek_A!R119</f>
        <v/>
      </c>
      <c r="V21" s="11" t="str">
        <f>Cek_A!S119</f>
        <v/>
      </c>
      <c r="W21" s="11" t="str">
        <f>Cek_A!T119</f>
        <v/>
      </c>
      <c r="X21" s="11" t="str">
        <f>Cek_A!U119</f>
        <v/>
      </c>
      <c r="Y21" s="11" t="str">
        <f>Cek_A!V119</f>
        <v/>
      </c>
      <c r="Z21" s="11" t="str">
        <f>Cek_A!W119</f>
        <v/>
      </c>
      <c r="AA21" s="11" t="str">
        <f>Cek_A!X119</f>
        <v/>
      </c>
      <c r="AB21" s="11" t="str">
        <f>Cek_A!Y119</f>
        <v/>
      </c>
    </row>
    <row r="22" spans="8:8">
      <c r="A22" s="7">
        <v>20.0</v>
      </c>
      <c r="B22" s="7" t="s">
        <v>1059</v>
      </c>
      <c r="C22" s="47" t="s">
        <v>1141</v>
      </c>
      <c r="D22" s="7" t="s">
        <v>16</v>
      </c>
      <c r="E22" s="48" t="s">
        <v>947</v>
      </c>
      <c r="F22" s="7">
        <v>4.0</v>
      </c>
      <c r="G22" s="9" t="str">
        <f>_xlfn.IFERROR(AVERAGE(H22:AB22)+ROW()*0.0000001,"")</f>
        <v/>
      </c>
      <c r="H22" s="11" t="str">
        <f>Cek_A!E125</f>
        <v/>
      </c>
      <c r="I22" s="11" t="str">
        <f>Cek_A!F125</f>
        <v/>
      </c>
      <c r="J22" s="11" t="str">
        <f>Cek_A!G125</f>
        <v/>
      </c>
      <c r="K22" s="11" t="str">
        <f>Cek_A!H125</f>
        <v/>
      </c>
      <c r="L22" s="11" t="str">
        <f>Cek_A!I125</f>
        <v/>
      </c>
      <c r="M22" s="11" t="str">
        <f>Cek_A!J125</f>
        <v/>
      </c>
      <c r="N22" s="11" t="str">
        <f>Cek_A!K125</f>
        <v/>
      </c>
      <c r="O22" s="11" t="str">
        <f>Cek_A!L125</f>
        <v/>
      </c>
      <c r="P22" s="11" t="str">
        <f>Cek_A!M125</f>
        <v/>
      </c>
      <c r="Q22" s="11" t="str">
        <f>Cek_A!N125</f>
        <v/>
      </c>
      <c r="R22" s="11" t="str">
        <f>Cek_A!O125</f>
        <v/>
      </c>
      <c r="S22" s="11" t="str">
        <f>Cek_A!P125</f>
        <v/>
      </c>
      <c r="T22" s="11" t="str">
        <f>Cek_A!Q125</f>
        <v/>
      </c>
      <c r="U22" s="11" t="str">
        <f>Cek_A!R125</f>
        <v/>
      </c>
      <c r="V22" s="11" t="str">
        <f>Cek_A!S125</f>
        <v/>
      </c>
      <c r="W22" s="11" t="str">
        <f>Cek_A!T125</f>
        <v/>
      </c>
      <c r="X22" s="11" t="str">
        <f>Cek_A!U125</f>
        <v/>
      </c>
      <c r="Y22" s="11" t="str">
        <f>Cek_A!V125</f>
        <v/>
      </c>
      <c r="Z22" s="11" t="str">
        <f>Cek_A!W125</f>
        <v/>
      </c>
      <c r="AA22" s="11" t="str">
        <f>Cek_A!X125</f>
        <v/>
      </c>
      <c r="AB22" s="11" t="str">
        <f>Cek_A!Y125</f>
        <v/>
      </c>
    </row>
    <row r="23" spans="8:8">
      <c r="A23" s="7">
        <v>21.0</v>
      </c>
      <c r="B23" s="7" t="s">
        <v>1059</v>
      </c>
      <c r="C23" s="47" t="s">
        <v>1142</v>
      </c>
      <c r="D23" s="7" t="s">
        <v>1143</v>
      </c>
      <c r="E23" s="48" t="s">
        <v>1144</v>
      </c>
      <c r="F23" s="7">
        <v>4.0</v>
      </c>
      <c r="G23" s="9" t="str">
        <f>_xlfn.IFERROR(AVERAGE(H23:AB23)+ROW()*0.0000001,"")</f>
        <v/>
      </c>
      <c r="H23" s="11" t="str">
        <f>Cek_A!E133</f>
        <v/>
      </c>
      <c r="I23" s="11" t="str">
        <f>Cek_A!F133</f>
        <v/>
      </c>
      <c r="J23" s="11" t="str">
        <f>Cek_A!G133</f>
        <v/>
      </c>
      <c r="K23" s="11" t="str">
        <f>Cek_A!H133</f>
        <v/>
      </c>
      <c r="L23" s="11" t="str">
        <f>Cek_A!I133</f>
        <v/>
      </c>
      <c r="M23" s="11" t="str">
        <f>Cek_A!J133</f>
        <v/>
      </c>
      <c r="N23" s="11" t="str">
        <f>Cek_A!K133</f>
        <v/>
      </c>
      <c r="O23" s="11" t="str">
        <f>Cek_A!L133</f>
        <v/>
      </c>
      <c r="P23" s="11" t="str">
        <f>Cek_A!M133</f>
        <v/>
      </c>
      <c r="Q23" s="11" t="str">
        <f>Cek_A!N133</f>
        <v/>
      </c>
      <c r="R23" s="11" t="str">
        <f>Cek_A!O133</f>
        <v/>
      </c>
      <c r="S23" s="11" t="str">
        <f>Cek_A!P133</f>
        <v/>
      </c>
      <c r="T23" s="11" t="str">
        <f>Cek_A!Q133</f>
        <v/>
      </c>
      <c r="U23" s="11" t="str">
        <f>Cek_A!R133</f>
        <v/>
      </c>
      <c r="V23" s="11" t="str">
        <f>Cek_A!S133</f>
        <v/>
      </c>
      <c r="W23" s="11" t="str">
        <f>Cek_A!T133</f>
        <v/>
      </c>
      <c r="X23" s="11" t="str">
        <f>Cek_A!U133</f>
        <v/>
      </c>
      <c r="Y23" s="11" t="str">
        <f>Cek_A!V133</f>
        <v/>
      </c>
      <c r="Z23" s="11" t="str">
        <f>Cek_A!W133</f>
        <v/>
      </c>
      <c r="AA23" s="11" t="str">
        <f>Cek_A!X133</f>
        <v/>
      </c>
      <c r="AB23" s="11" t="str">
        <f>Cek_A!Y133</f>
        <v/>
      </c>
    </row>
    <row r="24" spans="8:8">
      <c r="A24" s="7">
        <v>22.0</v>
      </c>
      <c r="B24" s="7" t="s">
        <v>1059</v>
      </c>
      <c r="C24" s="47" t="s">
        <v>1142</v>
      </c>
      <c r="D24" s="7" t="s">
        <v>1145</v>
      </c>
      <c r="E24" s="48" t="s">
        <v>1146</v>
      </c>
      <c r="F24" s="7">
        <v>4.0</v>
      </c>
      <c r="G24" s="9" t="str">
        <f>_xlfn.IFERROR(AVERAGE(H24:AB24)+ROW()*0.0000001,"")</f>
        <v/>
      </c>
      <c r="H24" s="11" t="str">
        <f>Cek_A!E139</f>
        <v/>
      </c>
      <c r="I24" s="11" t="str">
        <f>Cek_A!F139</f>
        <v/>
      </c>
      <c r="J24" s="11" t="str">
        <f>Cek_A!G139</f>
        <v/>
      </c>
      <c r="K24" s="11" t="str">
        <f>Cek_A!H139</f>
        <v/>
      </c>
      <c r="L24" s="11" t="str">
        <f>Cek_A!I139</f>
        <v/>
      </c>
      <c r="M24" s="11" t="str">
        <f>Cek_A!J139</f>
        <v/>
      </c>
      <c r="N24" s="11" t="str">
        <f>Cek_A!K139</f>
        <v/>
      </c>
      <c r="O24" s="11" t="str">
        <f>Cek_A!L139</f>
        <v/>
      </c>
      <c r="P24" s="11" t="str">
        <f>Cek_A!M139</f>
        <v/>
      </c>
      <c r="Q24" s="11" t="str">
        <f>Cek_A!N139</f>
        <v/>
      </c>
      <c r="R24" s="11" t="str">
        <f>Cek_A!O139</f>
        <v/>
      </c>
      <c r="S24" s="11" t="str">
        <f>Cek_A!P139</f>
        <v/>
      </c>
      <c r="T24" s="11" t="str">
        <f>Cek_A!Q139</f>
        <v/>
      </c>
      <c r="U24" s="11" t="str">
        <f>Cek_A!R139</f>
        <v/>
      </c>
      <c r="V24" s="11" t="str">
        <f>Cek_A!S139</f>
        <v/>
      </c>
      <c r="W24" s="11" t="str">
        <f>Cek_A!T139</f>
        <v/>
      </c>
      <c r="X24" s="11" t="str">
        <f>Cek_A!U139</f>
        <v/>
      </c>
      <c r="Y24" s="11" t="str">
        <f>Cek_A!V139</f>
        <v/>
      </c>
      <c r="Z24" s="11" t="str">
        <f>Cek_A!W139</f>
        <v/>
      </c>
      <c r="AA24" s="11" t="str">
        <f>Cek_A!X139</f>
        <v/>
      </c>
      <c r="AB24" s="11" t="str">
        <f>Cek_A!Y139</f>
        <v/>
      </c>
    </row>
    <row r="25" spans="8:8">
      <c r="A25" s="7">
        <v>23.0</v>
      </c>
      <c r="B25" s="7" t="s">
        <v>1059</v>
      </c>
      <c r="C25" s="47" t="s">
        <v>1142</v>
      </c>
      <c r="D25" s="7" t="s">
        <v>1147</v>
      </c>
      <c r="E25" s="48" t="s">
        <v>1148</v>
      </c>
      <c r="F25" s="7">
        <v>4.0</v>
      </c>
      <c r="G25" s="9" t="str">
        <f>_xlfn.IFERROR(AVERAGE(H25:AB25)+ROW()*0.0000001,"")</f>
        <v/>
      </c>
      <c r="H25" s="11" t="str">
        <f>Cek_A!E145</f>
        <v/>
      </c>
      <c r="I25" s="11" t="str">
        <f>Cek_A!F145</f>
        <v/>
      </c>
      <c r="J25" s="11" t="str">
        <f>Cek_A!G145</f>
        <v/>
      </c>
      <c r="K25" s="11" t="str">
        <f>Cek_A!H145</f>
        <v/>
      </c>
      <c r="L25" s="11" t="str">
        <f>Cek_A!I145</f>
        <v/>
      </c>
      <c r="M25" s="11" t="str">
        <f>Cek_A!J145</f>
        <v/>
      </c>
      <c r="N25" s="11" t="str">
        <f>Cek_A!K145</f>
        <v/>
      </c>
      <c r="O25" s="11" t="str">
        <f>Cek_A!L145</f>
        <v/>
      </c>
      <c r="P25" s="11" t="str">
        <f>Cek_A!M145</f>
        <v/>
      </c>
      <c r="Q25" s="11" t="str">
        <f>Cek_A!N145</f>
        <v/>
      </c>
      <c r="R25" s="11" t="str">
        <f>Cek_A!O145</f>
        <v/>
      </c>
      <c r="S25" s="11" t="str">
        <f>Cek_A!P145</f>
        <v/>
      </c>
      <c r="T25" s="11" t="str">
        <f>Cek_A!Q145</f>
        <v/>
      </c>
      <c r="U25" s="11" t="str">
        <f>Cek_A!R145</f>
        <v/>
      </c>
      <c r="V25" s="11" t="str">
        <f>Cek_A!S145</f>
        <v/>
      </c>
      <c r="W25" s="11" t="str">
        <f>Cek_A!T145</f>
        <v/>
      </c>
      <c r="X25" s="11" t="str">
        <f>Cek_A!U145</f>
        <v/>
      </c>
      <c r="Y25" s="11" t="str">
        <f>Cek_A!V145</f>
        <v/>
      </c>
      <c r="Z25" s="11" t="str">
        <f>Cek_A!W145</f>
        <v/>
      </c>
      <c r="AA25" s="11" t="str">
        <f>Cek_A!X145</f>
        <v/>
      </c>
      <c r="AB25" s="11" t="str">
        <f>Cek_A!Y145</f>
        <v/>
      </c>
    </row>
    <row r="26" spans="8:8">
      <c r="A26" s="7">
        <v>24.0</v>
      </c>
      <c r="B26" s="7" t="s">
        <v>1059</v>
      </c>
      <c r="C26" s="47" t="s">
        <v>1142</v>
      </c>
      <c r="D26" s="7" t="s">
        <v>1149</v>
      </c>
      <c r="E26" s="48" t="s">
        <v>1150</v>
      </c>
      <c r="F26" s="7">
        <v>4.0</v>
      </c>
      <c r="G26" s="9" t="str">
        <f>_xlfn.IFERROR(AVERAGE(H26:AB26)+ROW()*0.0000001,"")</f>
        <v/>
      </c>
      <c r="H26" s="11" t="str">
        <f>Cek_A!E151</f>
        <v/>
      </c>
      <c r="I26" s="11" t="str">
        <f>Cek_A!F151</f>
        <v/>
      </c>
      <c r="J26" s="11" t="str">
        <f>Cek_A!G151</f>
        <v/>
      </c>
      <c r="K26" s="11" t="str">
        <f>Cek_A!H151</f>
        <v/>
      </c>
      <c r="L26" s="11" t="str">
        <f>Cek_A!I151</f>
        <v/>
      </c>
      <c r="M26" s="11" t="str">
        <f>Cek_A!J151</f>
        <v/>
      </c>
      <c r="N26" s="11" t="str">
        <f>Cek_A!K151</f>
        <v/>
      </c>
      <c r="O26" s="11" t="str">
        <f>Cek_A!L151</f>
        <v/>
      </c>
      <c r="P26" s="11" t="str">
        <f>Cek_A!M151</f>
        <v/>
      </c>
      <c r="Q26" s="11" t="str">
        <f>Cek_A!N151</f>
        <v/>
      </c>
      <c r="R26" s="11" t="str">
        <f>Cek_A!O151</f>
        <v/>
      </c>
      <c r="S26" s="11" t="str">
        <f>Cek_A!P151</f>
        <v/>
      </c>
      <c r="T26" s="11" t="str">
        <f>Cek_A!Q151</f>
        <v/>
      </c>
      <c r="U26" s="11" t="str">
        <f>Cek_A!R151</f>
        <v/>
      </c>
      <c r="V26" s="11" t="str">
        <f>Cek_A!S151</f>
        <v/>
      </c>
      <c r="W26" s="11" t="str">
        <f>Cek_A!T151</f>
        <v/>
      </c>
      <c r="X26" s="11" t="str">
        <f>Cek_A!U151</f>
        <v/>
      </c>
      <c r="Y26" s="11" t="str">
        <f>Cek_A!V151</f>
        <v/>
      </c>
      <c r="Z26" s="11" t="str">
        <f>Cek_A!W151</f>
        <v/>
      </c>
      <c r="AA26" s="11" t="str">
        <f>Cek_A!X151</f>
        <v/>
      </c>
      <c r="AB26" s="11" t="str">
        <f>Cek_A!Y151</f>
        <v/>
      </c>
    </row>
    <row r="27" spans="8:8">
      <c r="A27" s="7">
        <v>25.0</v>
      </c>
      <c r="B27" s="7" t="s">
        <v>1059</v>
      </c>
      <c r="C27" s="47" t="s">
        <v>1142</v>
      </c>
      <c r="D27" s="7" t="s">
        <v>1151</v>
      </c>
      <c r="E27" s="48" t="s">
        <v>1152</v>
      </c>
      <c r="F27" s="7">
        <v>4.0</v>
      </c>
      <c r="G27" s="9" t="str">
        <f>_xlfn.IFERROR(AVERAGE(H27:AB27)+ROW()*0.0000001,"")</f>
        <v/>
      </c>
      <c r="H27" s="11" t="str">
        <f>Cek_A!E157</f>
        <v/>
      </c>
      <c r="I27" s="11" t="str">
        <f>Cek_A!F157</f>
        <v/>
      </c>
      <c r="J27" s="11" t="str">
        <f>Cek_A!G157</f>
        <v/>
      </c>
      <c r="K27" s="11" t="str">
        <f>Cek_A!H157</f>
        <v/>
      </c>
      <c r="L27" s="11" t="str">
        <f>Cek_A!I157</f>
        <v/>
      </c>
      <c r="M27" s="11" t="str">
        <f>Cek_A!J157</f>
        <v/>
      </c>
      <c r="N27" s="11" t="str">
        <f>Cek_A!K157</f>
        <v/>
      </c>
      <c r="O27" s="11" t="str">
        <f>Cek_A!L157</f>
        <v/>
      </c>
      <c r="P27" s="11" t="str">
        <f>Cek_A!M157</f>
        <v/>
      </c>
      <c r="Q27" s="11" t="str">
        <f>Cek_A!N157</f>
        <v/>
      </c>
      <c r="R27" s="11" t="str">
        <f>Cek_A!O157</f>
        <v/>
      </c>
      <c r="S27" s="11" t="str">
        <f>Cek_A!P157</f>
        <v/>
      </c>
      <c r="T27" s="11" t="str">
        <f>Cek_A!Q157</f>
        <v/>
      </c>
      <c r="U27" s="11" t="str">
        <f>Cek_A!R157</f>
        <v/>
      </c>
      <c r="V27" s="11" t="str">
        <f>Cek_A!S157</f>
        <v/>
      </c>
      <c r="W27" s="11" t="str">
        <f>Cek_A!T157</f>
        <v/>
      </c>
      <c r="X27" s="11" t="str">
        <f>Cek_A!U157</f>
        <v/>
      </c>
      <c r="Y27" s="11" t="str">
        <f>Cek_A!V157</f>
        <v/>
      </c>
      <c r="Z27" s="11" t="str">
        <f>Cek_A!W157</f>
        <v/>
      </c>
      <c r="AA27" s="11" t="str">
        <f>Cek_A!X157</f>
        <v/>
      </c>
      <c r="AB27" s="11" t="str">
        <f>Cek_A!Y157</f>
        <v/>
      </c>
    </row>
    <row r="28" spans="8:8">
      <c r="A28" s="7">
        <v>26.0</v>
      </c>
      <c r="B28" s="7" t="s">
        <v>1065</v>
      </c>
      <c r="C28" s="47" t="s">
        <v>1153</v>
      </c>
      <c r="D28" s="7" t="s">
        <v>809</v>
      </c>
      <c r="E28" s="48" t="s">
        <v>1154</v>
      </c>
      <c r="F28" s="7">
        <v>7.0</v>
      </c>
      <c r="G28" s="9" t="str">
        <f>_xlfn.IFERROR(AVERAGE(H28:AB28)+ROW()*0.0000001,"")</f>
        <v/>
      </c>
      <c r="H28" s="11" t="str">
        <f>Cek_B!E5</f>
        <v/>
      </c>
      <c r="I28" s="11" t="str">
        <f>Cek_B!F5</f>
        <v/>
      </c>
      <c r="J28" s="11" t="str">
        <f>Cek_B!G5</f>
        <v/>
      </c>
      <c r="K28" s="11" t="str">
        <f>Cek_B!H5</f>
        <v/>
      </c>
      <c r="L28" s="11" t="str">
        <f>Cek_B!I5</f>
        <v/>
      </c>
      <c r="M28" s="11" t="str">
        <f>Cek_B!J5</f>
        <v/>
      </c>
      <c r="N28" s="11" t="str">
        <f>Cek_B!K5</f>
        <v/>
      </c>
      <c r="O28" s="11" t="str">
        <f>Cek_B!L5</f>
        <v/>
      </c>
      <c r="P28" s="11" t="str">
        <f>Cek_B!M5</f>
        <v/>
      </c>
      <c r="Q28" s="11" t="str">
        <f>Cek_B!N5</f>
        <v/>
      </c>
      <c r="R28" s="11" t="str">
        <f>Cek_B!O5</f>
        <v/>
      </c>
      <c r="S28" s="11" t="str">
        <f>Cek_B!P5</f>
        <v/>
      </c>
      <c r="T28" s="11" t="str">
        <f>Cek_B!Q5</f>
        <v/>
      </c>
      <c r="U28" s="11" t="str">
        <f>Cek_B!R5</f>
        <v/>
      </c>
      <c r="V28" s="11" t="str">
        <f>Cek_B!S5</f>
        <v/>
      </c>
      <c r="W28" s="11" t="str">
        <f>Cek_B!T5</f>
        <v/>
      </c>
      <c r="X28" s="11" t="str">
        <f>Cek_B!U5</f>
        <v/>
      </c>
      <c r="Y28" s="11" t="str">
        <f>Cek_B!V5</f>
        <v/>
      </c>
      <c r="Z28" s="11" t="str">
        <f>Cek_B!W5</f>
        <v/>
      </c>
      <c r="AA28" s="11" t="str">
        <f>Cek_B!X5</f>
        <v/>
      </c>
      <c r="AB28" s="11" t="str">
        <f>Cek_B!Y5</f>
        <v/>
      </c>
    </row>
    <row r="29" spans="8:8">
      <c r="A29" s="7">
        <v>27.0</v>
      </c>
      <c r="B29" s="7" t="s">
        <v>1065</v>
      </c>
      <c r="C29" s="47" t="s">
        <v>1153</v>
      </c>
      <c r="D29" s="7" t="s">
        <v>821</v>
      </c>
      <c r="E29" s="48" t="s">
        <v>1155</v>
      </c>
      <c r="F29" s="7">
        <v>7.0</v>
      </c>
      <c r="G29" s="9" t="str">
        <f>_xlfn.IFERROR(AVERAGE(H29:AB29)+ROW()*0.0000001,"")</f>
        <v/>
      </c>
      <c r="H29" s="11" t="str">
        <f>Cek_B!E11</f>
        <v/>
      </c>
      <c r="I29" s="11" t="str">
        <f>Cek_B!F11</f>
        <v/>
      </c>
      <c r="J29" s="11" t="str">
        <f>Cek_B!G11</f>
        <v/>
      </c>
      <c r="K29" s="11" t="str">
        <f>Cek_B!H11</f>
        <v/>
      </c>
      <c r="L29" s="11" t="str">
        <f>Cek_B!I11</f>
        <v/>
      </c>
      <c r="M29" s="11" t="str">
        <f>Cek_B!J11</f>
        <v/>
      </c>
      <c r="N29" s="11" t="str">
        <f>Cek_B!K11</f>
        <v/>
      </c>
      <c r="O29" s="11" t="str">
        <f>Cek_B!L11</f>
        <v/>
      </c>
      <c r="P29" s="11" t="str">
        <f>Cek_B!M11</f>
        <v/>
      </c>
      <c r="Q29" s="11" t="str">
        <f>Cek_B!N11</f>
        <v/>
      </c>
      <c r="R29" s="11" t="str">
        <f>Cek_B!O11</f>
        <v/>
      </c>
      <c r="S29" s="11" t="str">
        <f>Cek_B!P11</f>
        <v/>
      </c>
      <c r="T29" s="11" t="str">
        <f>Cek_B!Q11</f>
        <v/>
      </c>
      <c r="U29" s="11" t="str">
        <f>Cek_B!R11</f>
        <v/>
      </c>
      <c r="V29" s="11" t="str">
        <f>Cek_B!S11</f>
        <v/>
      </c>
      <c r="W29" s="11" t="str">
        <f>Cek_B!T11</f>
        <v/>
      </c>
      <c r="X29" s="11" t="str">
        <f>Cek_B!U11</f>
        <v/>
      </c>
      <c r="Y29" s="11" t="str">
        <f>Cek_B!V11</f>
        <v/>
      </c>
      <c r="Z29" s="11" t="str">
        <f>Cek_B!W11</f>
        <v/>
      </c>
      <c r="AA29" s="11" t="str">
        <f>Cek_B!X11</f>
        <v/>
      </c>
      <c r="AB29" s="11" t="str">
        <f>Cek_B!Y11</f>
        <v/>
      </c>
    </row>
    <row r="30" spans="8:8">
      <c r="A30" s="7">
        <v>28.0</v>
      </c>
      <c r="B30" s="7" t="s">
        <v>1065</v>
      </c>
      <c r="C30" s="47" t="s">
        <v>1153</v>
      </c>
      <c r="D30" s="7" t="s">
        <v>833</v>
      </c>
      <c r="E30" s="48" t="s">
        <v>1156</v>
      </c>
      <c r="F30" s="7">
        <v>6.0</v>
      </c>
      <c r="G30" s="9" t="str">
        <f>_xlfn.IFERROR(AVERAGE(H30:AB30)+ROW()*0.0000001,"")</f>
        <v/>
      </c>
      <c r="H30" s="11" t="str">
        <f>Cek_B!E17</f>
        <v/>
      </c>
      <c r="I30" s="11" t="str">
        <f>Cek_B!F17</f>
        <v/>
      </c>
      <c r="J30" s="11" t="str">
        <f>Cek_B!G17</f>
        <v/>
      </c>
      <c r="K30" s="11" t="str">
        <f>Cek_B!H17</f>
        <v/>
      </c>
      <c r="L30" s="11" t="str">
        <f>Cek_B!I17</f>
        <v/>
      </c>
      <c r="M30" s="11" t="str">
        <f>Cek_B!J17</f>
        <v/>
      </c>
      <c r="N30" s="11" t="str">
        <f>Cek_B!K17</f>
        <v/>
      </c>
      <c r="O30" s="11" t="str">
        <f>Cek_B!L17</f>
        <v/>
      </c>
      <c r="P30" s="11" t="str">
        <f>Cek_B!M17</f>
        <v/>
      </c>
      <c r="Q30" s="11" t="str">
        <f>Cek_B!N17</f>
        <v/>
      </c>
      <c r="R30" s="11" t="str">
        <f>Cek_B!O17</f>
        <v/>
      </c>
      <c r="S30" s="11" t="str">
        <f>Cek_B!P17</f>
        <v/>
      </c>
      <c r="T30" s="11" t="str">
        <f>Cek_B!Q17</f>
        <v/>
      </c>
      <c r="U30" s="11" t="str">
        <f>Cek_B!R17</f>
        <v/>
      </c>
      <c r="V30" s="11" t="str">
        <f>Cek_B!S17</f>
        <v/>
      </c>
      <c r="W30" s="11" t="str">
        <f>Cek_B!T17</f>
        <v/>
      </c>
      <c r="X30" s="11" t="str">
        <f>Cek_B!U17</f>
        <v/>
      </c>
      <c r="Y30" s="11" t="str">
        <f>Cek_B!V17</f>
        <v/>
      </c>
      <c r="Z30" s="11" t="str">
        <f>Cek_B!W17</f>
        <v/>
      </c>
      <c r="AA30" s="11" t="str">
        <f>Cek_B!X17</f>
        <v/>
      </c>
      <c r="AB30" s="11" t="str">
        <f>Cek_B!Y17</f>
        <v/>
      </c>
    </row>
    <row r="31" spans="8:8">
      <c r="A31" s="7">
        <v>29.0</v>
      </c>
      <c r="B31" s="7" t="s">
        <v>1065</v>
      </c>
      <c r="C31" s="47" t="s">
        <v>1153</v>
      </c>
      <c r="D31" s="7" t="s">
        <v>845</v>
      </c>
      <c r="E31" s="48" t="s">
        <v>1157</v>
      </c>
      <c r="F31" s="7">
        <v>7.0</v>
      </c>
      <c r="G31" s="9" t="str">
        <f>_xlfn.IFERROR(AVERAGE(H31:AB31)+ROW()*0.0000001,"")</f>
        <v/>
      </c>
      <c r="H31" s="11" t="str">
        <f>Cek_B!E23</f>
        <v/>
      </c>
      <c r="I31" s="11" t="str">
        <f>Cek_B!F23</f>
        <v/>
      </c>
      <c r="J31" s="11" t="str">
        <f>Cek_B!G23</f>
        <v/>
      </c>
      <c r="K31" s="11" t="str">
        <f>Cek_B!H23</f>
        <v/>
      </c>
      <c r="L31" s="11" t="str">
        <f>Cek_B!I23</f>
        <v/>
      </c>
      <c r="M31" s="11" t="str">
        <f>Cek_B!J23</f>
        <v/>
      </c>
      <c r="N31" s="11" t="str">
        <f>Cek_B!K23</f>
        <v/>
      </c>
      <c r="O31" s="11" t="str">
        <f>Cek_B!L23</f>
        <v/>
      </c>
      <c r="P31" s="11" t="str">
        <f>Cek_B!M23</f>
        <v/>
      </c>
      <c r="Q31" s="11" t="str">
        <f>Cek_B!N23</f>
        <v/>
      </c>
      <c r="R31" s="11" t="str">
        <f>Cek_B!O23</f>
        <v/>
      </c>
      <c r="S31" s="11" t="str">
        <f>Cek_B!P23</f>
        <v/>
      </c>
      <c r="T31" s="11" t="str">
        <f>Cek_B!Q23</f>
        <v/>
      </c>
      <c r="U31" s="11" t="str">
        <f>Cek_B!R23</f>
        <v/>
      </c>
      <c r="V31" s="11" t="str">
        <f>Cek_B!S23</f>
        <v/>
      </c>
      <c r="W31" s="11" t="str">
        <f>Cek_B!T23</f>
        <v/>
      </c>
      <c r="X31" s="11" t="str">
        <f>Cek_B!U23</f>
        <v/>
      </c>
      <c r="Y31" s="11" t="str">
        <f>Cek_B!V23</f>
        <v/>
      </c>
      <c r="Z31" s="11" t="str">
        <f>Cek_B!W23</f>
        <v/>
      </c>
      <c r="AA31" s="11" t="str">
        <f>Cek_B!X23</f>
        <v/>
      </c>
      <c r="AB31" s="11" t="str">
        <f>Cek_B!Y23</f>
        <v/>
      </c>
    </row>
    <row r="32" spans="8:8">
      <c r="A32" s="7">
        <v>30.0</v>
      </c>
      <c r="B32" s="7" t="s">
        <v>1065</v>
      </c>
      <c r="C32" s="47" t="s">
        <v>1153</v>
      </c>
      <c r="D32" s="7" t="s">
        <v>857</v>
      </c>
      <c r="E32" s="48" t="s">
        <v>1158</v>
      </c>
      <c r="F32" s="7">
        <v>6.0</v>
      </c>
      <c r="G32" s="9" t="str">
        <f>_xlfn.IFERROR(AVERAGE(H32:AB32)+ROW()*0.0000001,"")</f>
        <v/>
      </c>
      <c r="H32" s="11" t="str">
        <f>Cek_B!E29</f>
        <v/>
      </c>
      <c r="I32" s="11" t="str">
        <f>Cek_B!F29</f>
        <v/>
      </c>
      <c r="J32" s="11" t="str">
        <f>Cek_B!G29</f>
        <v/>
      </c>
      <c r="K32" s="11" t="str">
        <f>Cek_B!H29</f>
        <v/>
      </c>
      <c r="L32" s="11" t="str">
        <f>Cek_B!I29</f>
        <v/>
      </c>
      <c r="M32" s="11" t="str">
        <f>Cek_B!J29</f>
        <v/>
      </c>
      <c r="N32" s="11" t="str">
        <f>Cek_B!K29</f>
        <v/>
      </c>
      <c r="O32" s="11" t="str">
        <f>Cek_B!L29</f>
        <v/>
      </c>
      <c r="P32" s="11" t="str">
        <f>Cek_B!M29</f>
        <v/>
      </c>
      <c r="Q32" s="11" t="str">
        <f>Cek_B!N29</f>
        <v/>
      </c>
      <c r="R32" s="11" t="str">
        <f>Cek_B!O29</f>
        <v/>
      </c>
      <c r="S32" s="11" t="str">
        <f>Cek_B!P29</f>
        <v/>
      </c>
      <c r="T32" s="11" t="str">
        <f>Cek_B!Q29</f>
        <v/>
      </c>
      <c r="U32" s="11" t="str">
        <f>Cek_B!R29</f>
        <v/>
      </c>
      <c r="V32" s="11" t="str">
        <f>Cek_B!S29</f>
        <v/>
      </c>
      <c r="W32" s="11" t="str">
        <f>Cek_B!T29</f>
        <v/>
      </c>
      <c r="X32" s="11" t="str">
        <f>Cek_B!U29</f>
        <v/>
      </c>
      <c r="Y32" s="11" t="str">
        <f>Cek_B!V29</f>
        <v/>
      </c>
      <c r="Z32" s="11" t="str">
        <f>Cek_B!W29</f>
        <v/>
      </c>
      <c r="AA32" s="11" t="str">
        <f>Cek_B!X29</f>
        <v/>
      </c>
      <c r="AB32" s="11" t="str">
        <f>Cek_B!Y29</f>
        <v/>
      </c>
    </row>
    <row r="33" spans="8:8">
      <c r="A33" s="7">
        <v>31.0</v>
      </c>
      <c r="B33" s="7" t="s">
        <v>1065</v>
      </c>
      <c r="C33" s="47" t="s">
        <v>1159</v>
      </c>
      <c r="D33" s="7" t="s">
        <v>1160</v>
      </c>
      <c r="E33" s="48" t="s">
        <v>1161</v>
      </c>
      <c r="F33" s="7">
        <v>6.0</v>
      </c>
      <c r="G33" s="9" t="str">
        <f>_xlfn.IFERROR(AVERAGE(H33:AB33)+ROW()*0.0000001,"")</f>
        <v/>
      </c>
      <c r="H33" s="11" t="str">
        <f>Cek_B!E37</f>
        <v/>
      </c>
      <c r="I33" s="11" t="str">
        <f>Cek_B!F37</f>
        <v/>
      </c>
      <c r="J33" s="11" t="str">
        <f>Cek_B!G37</f>
        <v/>
      </c>
      <c r="K33" s="11" t="str">
        <f>Cek_B!H37</f>
        <v/>
      </c>
      <c r="L33" s="11" t="str">
        <f>Cek_B!I37</f>
        <v/>
      </c>
      <c r="M33" s="11" t="str">
        <f>Cek_B!J37</f>
        <v/>
      </c>
      <c r="N33" s="11" t="str">
        <f>Cek_B!K37</f>
        <v/>
      </c>
      <c r="O33" s="11" t="str">
        <f>Cek_B!L37</f>
        <v/>
      </c>
      <c r="P33" s="11" t="str">
        <f>Cek_B!M37</f>
        <v/>
      </c>
      <c r="Q33" s="11" t="str">
        <f>Cek_B!N37</f>
        <v/>
      </c>
      <c r="R33" s="11" t="str">
        <f>Cek_B!O37</f>
        <v/>
      </c>
      <c r="S33" s="11" t="str">
        <f>Cek_B!P37</f>
        <v/>
      </c>
      <c r="T33" s="11" t="str">
        <f>Cek_B!Q37</f>
        <v/>
      </c>
      <c r="U33" s="11" t="str">
        <f>Cek_B!R37</f>
        <v/>
      </c>
      <c r="V33" s="11" t="str">
        <f>Cek_B!S37</f>
        <v/>
      </c>
      <c r="W33" s="11" t="str">
        <f>Cek_B!T37</f>
        <v/>
      </c>
      <c r="X33" s="11" t="str">
        <f>Cek_B!U37</f>
        <v/>
      </c>
      <c r="Y33" s="11" t="str">
        <f>Cek_B!V37</f>
        <v/>
      </c>
      <c r="Z33" s="11" t="str">
        <f>Cek_B!W37</f>
        <v/>
      </c>
      <c r="AA33" s="11" t="str">
        <f>Cek_B!X37</f>
        <v/>
      </c>
      <c r="AB33" s="11" t="str">
        <f>Cek_B!Y37</f>
        <v/>
      </c>
    </row>
    <row r="34" spans="8:8">
      <c r="A34" s="7">
        <v>32.0</v>
      </c>
      <c r="B34" s="7" t="s">
        <v>1065</v>
      </c>
      <c r="C34" s="47" t="s">
        <v>1159</v>
      </c>
      <c r="D34" s="7" t="s">
        <v>1162</v>
      </c>
      <c r="E34" s="48" t="s">
        <v>1163</v>
      </c>
      <c r="F34" s="7">
        <v>7.0</v>
      </c>
      <c r="G34" s="9" t="str">
        <f>_xlfn.IFERROR(AVERAGE(H34:AB34)+ROW()*0.0000001,"")</f>
        <v/>
      </c>
      <c r="H34" s="11" t="str">
        <f>Cek_B!E43</f>
        <v/>
      </c>
      <c r="I34" s="11" t="str">
        <f>Cek_B!F43</f>
        <v/>
      </c>
      <c r="J34" s="11" t="str">
        <f>Cek_B!G43</f>
        <v/>
      </c>
      <c r="K34" s="11" t="str">
        <f>Cek_B!H43</f>
        <v/>
      </c>
      <c r="L34" s="11" t="str">
        <f>Cek_B!I43</f>
        <v/>
      </c>
      <c r="M34" s="11" t="str">
        <f>Cek_B!J43</f>
        <v/>
      </c>
      <c r="N34" s="11" t="str">
        <f>Cek_B!K43</f>
        <v/>
      </c>
      <c r="O34" s="11" t="str">
        <f>Cek_B!L43</f>
        <v/>
      </c>
      <c r="P34" s="11" t="str">
        <f>Cek_B!M43</f>
        <v/>
      </c>
      <c r="Q34" s="11" t="str">
        <f>Cek_B!N43</f>
        <v/>
      </c>
      <c r="R34" s="11" t="str">
        <f>Cek_B!O43</f>
        <v/>
      </c>
      <c r="S34" s="11" t="str">
        <f>Cek_B!P43</f>
        <v/>
      </c>
      <c r="T34" s="11" t="str">
        <f>Cek_B!Q43</f>
        <v/>
      </c>
      <c r="U34" s="11" t="str">
        <f>Cek_B!R43</f>
        <v/>
      </c>
      <c r="V34" s="11" t="str">
        <f>Cek_B!S43</f>
        <v/>
      </c>
      <c r="W34" s="11" t="str">
        <f>Cek_B!T43</f>
        <v/>
      </c>
      <c r="X34" s="11" t="str">
        <f>Cek_B!U43</f>
        <v/>
      </c>
      <c r="Y34" s="11" t="str">
        <f>Cek_B!V43</f>
        <v/>
      </c>
      <c r="Z34" s="11" t="str">
        <f>Cek_B!W43</f>
        <v/>
      </c>
      <c r="AA34" s="11" t="str">
        <f>Cek_B!X43</f>
        <v/>
      </c>
      <c r="AB34" s="11" t="str">
        <f>Cek_B!Y43</f>
        <v/>
      </c>
    </row>
    <row r="35" spans="8:8">
      <c r="A35" s="7">
        <v>33.0</v>
      </c>
      <c r="B35" s="7" t="s">
        <v>1065</v>
      </c>
      <c r="C35" s="47" t="s">
        <v>1159</v>
      </c>
      <c r="D35" s="7" t="s">
        <v>1164</v>
      </c>
      <c r="E35" s="48" t="s">
        <v>1165</v>
      </c>
      <c r="F35" s="7">
        <v>7.0</v>
      </c>
      <c r="G35" s="9" t="str">
        <f>_xlfn.IFERROR(AVERAGE(H35:AB35)+ROW()*0.0000001,"")</f>
        <v/>
      </c>
      <c r="H35" s="11" t="str">
        <f>Cek_B!E49</f>
        <v/>
      </c>
      <c r="I35" s="11" t="str">
        <f>Cek_B!F49</f>
        <v/>
      </c>
      <c r="J35" s="11" t="str">
        <f>Cek_B!G49</f>
        <v/>
      </c>
      <c r="K35" s="11" t="str">
        <f>Cek_B!H49</f>
        <v/>
      </c>
      <c r="L35" s="11" t="str">
        <f>Cek_B!I49</f>
        <v/>
      </c>
      <c r="M35" s="11" t="str">
        <f>Cek_B!J49</f>
        <v/>
      </c>
      <c r="N35" s="11" t="str">
        <f>Cek_B!K49</f>
        <v/>
      </c>
      <c r="O35" s="11" t="str">
        <f>Cek_B!L49</f>
        <v/>
      </c>
      <c r="P35" s="11" t="str">
        <f>Cek_B!M49</f>
        <v/>
      </c>
      <c r="Q35" s="11" t="str">
        <f>Cek_B!N49</f>
        <v/>
      </c>
      <c r="R35" s="11" t="str">
        <f>Cek_B!O49</f>
        <v/>
      </c>
      <c r="S35" s="11" t="str">
        <f>Cek_B!P49</f>
        <v/>
      </c>
      <c r="T35" s="11" t="str">
        <f>Cek_B!Q49</f>
        <v/>
      </c>
      <c r="U35" s="11" t="str">
        <f>Cek_B!R49</f>
        <v/>
      </c>
      <c r="V35" s="11" t="str">
        <f>Cek_B!S49</f>
        <v/>
      </c>
      <c r="W35" s="11" t="str">
        <f>Cek_B!T49</f>
        <v/>
      </c>
      <c r="X35" s="11" t="str">
        <f>Cek_B!U49</f>
        <v/>
      </c>
      <c r="Y35" s="11" t="str">
        <f>Cek_B!V49</f>
        <v/>
      </c>
      <c r="Z35" s="11" t="str">
        <f>Cek_B!W49</f>
        <v/>
      </c>
      <c r="AA35" s="11" t="str">
        <f>Cek_B!X49</f>
        <v/>
      </c>
      <c r="AB35" s="11" t="str">
        <f>Cek_B!Y49</f>
        <v/>
      </c>
    </row>
    <row r="36" spans="8:8">
      <c r="A36" s="7">
        <v>34.0</v>
      </c>
      <c r="B36" s="7" t="s">
        <v>1065</v>
      </c>
      <c r="C36" s="47" t="s">
        <v>1159</v>
      </c>
      <c r="D36" s="7" t="s">
        <v>1166</v>
      </c>
      <c r="E36" s="48" t="s">
        <v>1167</v>
      </c>
      <c r="F36" s="7">
        <v>6.0</v>
      </c>
      <c r="G36" s="9" t="str">
        <f>_xlfn.IFERROR(AVERAGE(H36:AB36)+ROW()*0.0000001,"")</f>
        <v/>
      </c>
      <c r="H36" s="11" t="str">
        <f>Cek_B!E55</f>
        <v/>
      </c>
      <c r="I36" s="11" t="str">
        <f>Cek_B!F55</f>
        <v/>
      </c>
      <c r="J36" s="11" t="str">
        <f>Cek_B!G55</f>
        <v/>
      </c>
      <c r="K36" s="11" t="str">
        <f>Cek_B!H55</f>
        <v/>
      </c>
      <c r="L36" s="11" t="str">
        <f>Cek_B!I55</f>
        <v/>
      </c>
      <c r="M36" s="11" t="str">
        <f>Cek_B!J55</f>
        <v/>
      </c>
      <c r="N36" s="11" t="str">
        <f>Cek_B!K55</f>
        <v/>
      </c>
      <c r="O36" s="11" t="str">
        <f>Cek_B!L55</f>
        <v/>
      </c>
      <c r="P36" s="11" t="str">
        <f>Cek_B!M55</f>
        <v/>
      </c>
      <c r="Q36" s="11" t="str">
        <f>Cek_B!N55</f>
        <v/>
      </c>
      <c r="R36" s="11" t="str">
        <f>Cek_B!O55</f>
        <v/>
      </c>
      <c r="S36" s="11" t="str">
        <f>Cek_B!P55</f>
        <v/>
      </c>
      <c r="T36" s="11" t="str">
        <f>Cek_B!Q55</f>
        <v/>
      </c>
      <c r="U36" s="11" t="str">
        <f>Cek_B!R55</f>
        <v/>
      </c>
      <c r="V36" s="11" t="str">
        <f>Cek_B!S55</f>
        <v/>
      </c>
      <c r="W36" s="11" t="str">
        <f>Cek_B!T55</f>
        <v/>
      </c>
      <c r="X36" s="11" t="str">
        <f>Cek_B!U55</f>
        <v/>
      </c>
      <c r="Y36" s="11" t="str">
        <f>Cek_B!V55</f>
        <v/>
      </c>
      <c r="Z36" s="11" t="str">
        <f>Cek_B!W55</f>
        <v/>
      </c>
      <c r="AA36" s="11" t="str">
        <f>Cek_B!X55</f>
        <v/>
      </c>
      <c r="AB36" s="11" t="str">
        <f>Cek_B!Y55</f>
        <v/>
      </c>
    </row>
    <row r="37" spans="8:8">
      <c r="A37" s="7">
        <v>35.0</v>
      </c>
      <c r="B37" s="7" t="s">
        <v>1065</v>
      </c>
      <c r="C37" s="47" t="s">
        <v>1159</v>
      </c>
      <c r="D37" s="7" t="s">
        <v>1168</v>
      </c>
      <c r="E37" s="48" t="s">
        <v>1169</v>
      </c>
      <c r="F37" s="7">
        <v>7.0</v>
      </c>
      <c r="G37" s="9" t="str">
        <f>_xlfn.IFERROR(AVERAGE(H37:AB37)+ROW()*0.0000001,"")</f>
        <v/>
      </c>
      <c r="H37" s="11" t="str">
        <f>Cek_B!E61</f>
        <v/>
      </c>
      <c r="I37" s="11" t="str">
        <f>Cek_B!F61</f>
        <v/>
      </c>
      <c r="J37" s="11" t="str">
        <f>Cek_B!G61</f>
        <v/>
      </c>
      <c r="K37" s="11" t="str">
        <f>Cek_B!H61</f>
        <v/>
      </c>
      <c r="L37" s="11" t="str">
        <f>Cek_B!I61</f>
        <v/>
      </c>
      <c r="M37" s="11" t="str">
        <f>Cek_B!J61</f>
        <v/>
      </c>
      <c r="N37" s="11" t="str">
        <f>Cek_B!K61</f>
        <v/>
      </c>
      <c r="O37" s="11" t="str">
        <f>Cek_B!L61</f>
        <v/>
      </c>
      <c r="P37" s="11" t="str">
        <f>Cek_B!M61</f>
        <v/>
      </c>
      <c r="Q37" s="11" t="str">
        <f>Cek_B!N61</f>
        <v/>
      </c>
      <c r="R37" s="11" t="str">
        <f>Cek_B!O61</f>
        <v/>
      </c>
      <c r="S37" s="11" t="str">
        <f>Cek_B!P61</f>
        <v/>
      </c>
      <c r="T37" s="11" t="str">
        <f>Cek_B!Q61</f>
        <v/>
      </c>
      <c r="U37" s="11" t="str">
        <f>Cek_B!R61</f>
        <v/>
      </c>
      <c r="V37" s="11" t="str">
        <f>Cek_B!S61</f>
        <v/>
      </c>
      <c r="W37" s="11" t="str">
        <f>Cek_B!T61</f>
        <v/>
      </c>
      <c r="X37" s="11" t="str">
        <f>Cek_B!U61</f>
        <v/>
      </c>
      <c r="Y37" s="11" t="str">
        <f>Cek_B!V61</f>
        <v/>
      </c>
      <c r="Z37" s="11" t="str">
        <f>Cek_B!W61</f>
        <v/>
      </c>
      <c r="AA37" s="11" t="str">
        <f>Cek_B!X61</f>
        <v/>
      </c>
      <c r="AB37" s="11" t="str">
        <f>Cek_B!Y61</f>
        <v/>
      </c>
    </row>
    <row r="38" spans="8:8">
      <c r="A38" s="7">
        <v>36.0</v>
      </c>
      <c r="B38" s="7" t="s">
        <v>1065</v>
      </c>
      <c r="C38" s="47" t="s">
        <v>1170</v>
      </c>
      <c r="D38" s="7" t="s">
        <v>1171</v>
      </c>
      <c r="E38" s="48" t="s">
        <v>1172</v>
      </c>
      <c r="F38" s="7">
        <v>7.0</v>
      </c>
      <c r="G38" s="9" t="str">
        <f>_xlfn.IFERROR(AVERAGE(H38:AB38)+ROW()*0.0000001,"")</f>
        <v/>
      </c>
      <c r="H38" s="11" t="str">
        <f>Cek_B!E69</f>
        <v/>
      </c>
      <c r="I38" s="11" t="str">
        <f>Cek_B!F69</f>
        <v/>
      </c>
      <c r="J38" s="11" t="str">
        <f>Cek_B!G69</f>
        <v/>
      </c>
      <c r="K38" s="11" t="str">
        <f>Cek_B!H69</f>
        <v/>
      </c>
      <c r="L38" s="11" t="str">
        <f>Cek_B!I69</f>
        <v/>
      </c>
      <c r="M38" s="11" t="str">
        <f>Cek_B!J69</f>
        <v/>
      </c>
      <c r="N38" s="11" t="str">
        <f>Cek_B!K69</f>
        <v/>
      </c>
      <c r="O38" s="11" t="str">
        <f>Cek_B!L69</f>
        <v/>
      </c>
      <c r="P38" s="11" t="str">
        <f>Cek_B!M69</f>
        <v/>
      </c>
      <c r="Q38" s="11" t="str">
        <f>Cek_B!N69</f>
        <v/>
      </c>
      <c r="R38" s="11" t="str">
        <f>Cek_B!O69</f>
        <v/>
      </c>
      <c r="S38" s="11" t="str">
        <f>Cek_B!P69</f>
        <v/>
      </c>
      <c r="T38" s="11" t="str">
        <f>Cek_B!Q69</f>
        <v/>
      </c>
      <c r="U38" s="11" t="str">
        <f>Cek_B!R69</f>
        <v/>
      </c>
      <c r="V38" s="11" t="str">
        <f>Cek_B!S69</f>
        <v/>
      </c>
      <c r="W38" s="11" t="str">
        <f>Cek_B!T69</f>
        <v/>
      </c>
      <c r="X38" s="11" t="str">
        <f>Cek_B!U69</f>
        <v/>
      </c>
      <c r="Y38" s="11" t="str">
        <f>Cek_B!V69</f>
        <v/>
      </c>
      <c r="Z38" s="11" t="str">
        <f>Cek_B!W69</f>
        <v/>
      </c>
      <c r="AA38" s="11" t="str">
        <f>Cek_B!X69</f>
        <v/>
      </c>
      <c r="AB38" s="11" t="str">
        <f>Cek_B!Y69</f>
        <v/>
      </c>
    </row>
    <row r="39" spans="8:8">
      <c r="A39" s="7">
        <v>37.0</v>
      </c>
      <c r="B39" s="7" t="s">
        <v>1065</v>
      </c>
      <c r="C39" s="47" t="s">
        <v>1170</v>
      </c>
      <c r="D39" s="7" t="s">
        <v>1173</v>
      </c>
      <c r="E39" s="48" t="s">
        <v>1174</v>
      </c>
      <c r="F39" s="7">
        <v>7.0</v>
      </c>
      <c r="G39" s="9" t="str">
        <f>_xlfn.IFERROR(AVERAGE(H39:AB39)+ROW()*0.0000001,"")</f>
        <v/>
      </c>
      <c r="H39" s="11" t="str">
        <f>Cek_B!E75</f>
        <v/>
      </c>
      <c r="I39" s="11" t="str">
        <f>Cek_B!F75</f>
        <v/>
      </c>
      <c r="J39" s="11" t="str">
        <f>Cek_B!G75</f>
        <v/>
      </c>
      <c r="K39" s="11" t="str">
        <f>Cek_B!H75</f>
        <v/>
      </c>
      <c r="L39" s="11" t="str">
        <f>Cek_B!I75</f>
        <v/>
      </c>
      <c r="M39" s="11" t="str">
        <f>Cek_B!J75</f>
        <v/>
      </c>
      <c r="N39" s="11" t="str">
        <f>Cek_B!K75</f>
        <v/>
      </c>
      <c r="O39" s="11" t="str">
        <f>Cek_B!L75</f>
        <v/>
      </c>
      <c r="P39" s="11" t="str">
        <f>Cek_B!M75</f>
        <v/>
      </c>
      <c r="Q39" s="11" t="str">
        <f>Cek_B!N75</f>
        <v/>
      </c>
      <c r="R39" s="11" t="str">
        <f>Cek_B!O75</f>
        <v/>
      </c>
      <c r="S39" s="11" t="str">
        <f>Cek_B!P75</f>
        <v/>
      </c>
      <c r="T39" s="11" t="str">
        <f>Cek_B!Q75</f>
        <v/>
      </c>
      <c r="U39" s="11" t="str">
        <f>Cek_B!R75</f>
        <v/>
      </c>
      <c r="V39" s="11" t="str">
        <f>Cek_B!S75</f>
        <v/>
      </c>
      <c r="W39" s="11" t="str">
        <f>Cek_B!T75</f>
        <v/>
      </c>
      <c r="X39" s="11" t="str">
        <f>Cek_B!U75</f>
        <v/>
      </c>
      <c r="Y39" s="11" t="str">
        <f>Cek_B!V75</f>
        <v/>
      </c>
      <c r="Z39" s="11" t="str">
        <f>Cek_B!W75</f>
        <v/>
      </c>
      <c r="AA39" s="11" t="str">
        <f>Cek_B!X75</f>
        <v/>
      </c>
      <c r="AB39" s="11" t="str">
        <f>Cek_B!Y75</f>
        <v/>
      </c>
    </row>
    <row r="40" spans="8:8">
      <c r="A40" s="7">
        <v>38.0</v>
      </c>
      <c r="B40" s="7" t="s">
        <v>1065</v>
      </c>
      <c r="C40" s="47" t="s">
        <v>1170</v>
      </c>
      <c r="D40" s="7" t="s">
        <v>1175</v>
      </c>
      <c r="E40" s="48" t="s">
        <v>1176</v>
      </c>
      <c r="F40" s="7">
        <v>6.0</v>
      </c>
      <c r="G40" s="9" t="str">
        <f>_xlfn.IFERROR(AVERAGE(H40:AB40)+ROW()*0.0000001,"")</f>
        <v/>
      </c>
      <c r="H40" s="11" t="str">
        <f>Cek_B!E81</f>
        <v/>
      </c>
      <c r="I40" s="11" t="str">
        <f>Cek_B!F81</f>
        <v/>
      </c>
      <c r="J40" s="11" t="str">
        <f>Cek_B!G81</f>
        <v/>
      </c>
      <c r="K40" s="11" t="str">
        <f>Cek_B!H81</f>
        <v/>
      </c>
      <c r="L40" s="11" t="str">
        <f>Cek_B!I81</f>
        <v/>
      </c>
      <c r="M40" s="11" t="str">
        <f>Cek_B!J81</f>
        <v/>
      </c>
      <c r="N40" s="11" t="str">
        <f>Cek_B!K81</f>
        <v/>
      </c>
      <c r="O40" s="11" t="str">
        <f>Cek_B!L81</f>
        <v/>
      </c>
      <c r="P40" s="11" t="str">
        <f>Cek_B!M81</f>
        <v/>
      </c>
      <c r="Q40" s="11" t="str">
        <f>Cek_B!N81</f>
        <v/>
      </c>
      <c r="R40" s="11" t="str">
        <f>Cek_B!O81</f>
        <v/>
      </c>
      <c r="S40" s="11" t="str">
        <f>Cek_B!P81</f>
        <v/>
      </c>
      <c r="T40" s="11" t="str">
        <f>Cek_B!Q81</f>
        <v/>
      </c>
      <c r="U40" s="11" t="str">
        <f>Cek_B!R81</f>
        <v/>
      </c>
      <c r="V40" s="11" t="str">
        <f>Cek_B!S81</f>
        <v/>
      </c>
      <c r="W40" s="11" t="str">
        <f>Cek_B!T81</f>
        <v/>
      </c>
      <c r="X40" s="11" t="str">
        <f>Cek_B!U81</f>
        <v/>
      </c>
      <c r="Y40" s="11" t="str">
        <f>Cek_B!V81</f>
        <v/>
      </c>
      <c r="Z40" s="11" t="str">
        <f>Cek_B!W81</f>
        <v/>
      </c>
      <c r="AA40" s="11" t="str">
        <f>Cek_B!X81</f>
        <v/>
      </c>
      <c r="AB40" s="11" t="str">
        <f>Cek_B!Y81</f>
        <v/>
      </c>
    </row>
    <row r="41" spans="8:8">
      <c r="A41" s="7">
        <v>39.0</v>
      </c>
      <c r="B41" s="7" t="s">
        <v>1065</v>
      </c>
      <c r="C41" s="47" t="s">
        <v>1177</v>
      </c>
      <c r="D41" s="7" t="s">
        <v>1178</v>
      </c>
      <c r="E41" s="48" t="s">
        <v>1179</v>
      </c>
      <c r="F41" s="7">
        <v>50.0</v>
      </c>
      <c r="G41" s="9" t="str">
        <f>_xlfn.IFERROR(AVERAGE(H41:AB41)+ROW()*0.0000001,"")</f>
        <v/>
      </c>
      <c r="H41" s="11" t="str">
        <f>Cek_B!E89</f>
        <v/>
      </c>
      <c r="I41" s="11" t="str">
        <f>Cek_B!F89</f>
        <v/>
      </c>
      <c r="J41" s="11" t="str">
        <f>Cek_B!G89</f>
        <v/>
      </c>
      <c r="K41" s="11" t="str">
        <f>Cek_B!H89</f>
        <v/>
      </c>
      <c r="L41" s="11" t="str">
        <f>Cek_B!I89</f>
        <v/>
      </c>
      <c r="M41" s="11" t="str">
        <f>Cek_B!J89</f>
        <v/>
      </c>
      <c r="N41" s="11" t="str">
        <f>Cek_B!K89</f>
        <v/>
      </c>
      <c r="O41" s="11" t="str">
        <f>Cek_B!L89</f>
        <v/>
      </c>
      <c r="P41" s="11" t="str">
        <f>Cek_B!M89</f>
        <v/>
      </c>
      <c r="Q41" s="11" t="str">
        <f>Cek_B!N89</f>
        <v/>
      </c>
      <c r="R41" s="11" t="str">
        <f>Cek_B!O89</f>
        <v/>
      </c>
      <c r="S41" s="11" t="str">
        <f>Cek_B!P89</f>
        <v/>
      </c>
      <c r="T41" s="11" t="str">
        <f>Cek_B!Q89</f>
        <v/>
      </c>
      <c r="U41" s="11" t="str">
        <f>Cek_B!R89</f>
        <v/>
      </c>
      <c r="V41" s="11" t="str">
        <f>Cek_B!S89</f>
        <v/>
      </c>
      <c r="W41" s="11" t="str">
        <f>Cek_B!T89</f>
        <v/>
      </c>
      <c r="X41" s="11" t="str">
        <f>Cek_B!U89</f>
        <v/>
      </c>
      <c r="Y41" s="11" t="str">
        <f>Cek_B!V89</f>
        <v/>
      </c>
      <c r="Z41" s="11" t="str">
        <f>Cek_B!W89</f>
        <v/>
      </c>
      <c r="AA41" s="11" t="str">
        <f>Cek_B!X89</f>
        <v/>
      </c>
      <c r="AB41" s="11" t="str">
        <f>Cek_B!Y89</f>
        <v/>
      </c>
    </row>
    <row r="42" spans="8:8">
      <c r="A42" s="7">
        <v>40.0</v>
      </c>
      <c r="B42" s="7" t="s">
        <v>1065</v>
      </c>
      <c r="C42" s="47" t="s">
        <v>1177</v>
      </c>
      <c r="D42" s="7" t="s">
        <v>1180</v>
      </c>
      <c r="E42" s="48" t="s">
        <v>1181</v>
      </c>
      <c r="F42" s="7">
        <v>50.0</v>
      </c>
      <c r="G42" s="9" t="str">
        <f>_xlfn.IFERROR(AVERAGE(H42:AB42)+ROW()*0.0000001,"")</f>
        <v/>
      </c>
      <c r="H42" s="11" t="str">
        <f>Cek_B!E95</f>
        <v/>
      </c>
      <c r="I42" s="11" t="str">
        <f>Cek_B!F95</f>
        <v/>
      </c>
      <c r="J42" s="11" t="str">
        <f>Cek_B!G95</f>
        <v/>
      </c>
      <c r="K42" s="11" t="str">
        <f>Cek_B!H95</f>
        <v/>
      </c>
      <c r="L42" s="11" t="str">
        <f>Cek_B!I95</f>
        <v/>
      </c>
      <c r="M42" s="11" t="str">
        <f>Cek_B!J95</f>
        <v/>
      </c>
      <c r="N42" s="11" t="str">
        <f>Cek_B!K95</f>
        <v/>
      </c>
      <c r="O42" s="11" t="str">
        <f>Cek_B!L95</f>
        <v/>
      </c>
      <c r="P42" s="11" t="str">
        <f>Cek_B!M95</f>
        <v/>
      </c>
      <c r="Q42" s="11" t="str">
        <f>Cek_B!N95</f>
        <v/>
      </c>
      <c r="R42" s="11" t="str">
        <f>Cek_B!O95</f>
        <v/>
      </c>
      <c r="S42" s="11" t="str">
        <f>Cek_B!P95</f>
        <v/>
      </c>
      <c r="T42" s="11" t="str">
        <f>Cek_B!Q95</f>
        <v/>
      </c>
      <c r="U42" s="11" t="str">
        <f>Cek_B!R95</f>
        <v/>
      </c>
      <c r="V42" s="11" t="str">
        <f>Cek_B!S95</f>
        <v/>
      </c>
      <c r="W42" s="11" t="str">
        <f>Cek_B!T95</f>
        <v/>
      </c>
      <c r="X42" s="11" t="str">
        <f>Cek_B!U95</f>
        <v/>
      </c>
      <c r="Y42" s="11" t="str">
        <f>Cek_B!V95</f>
        <v/>
      </c>
      <c r="Z42" s="11" t="str">
        <f>Cek_B!W95</f>
        <v/>
      </c>
      <c r="AA42" s="11" t="str">
        <f>Cek_B!X95</f>
        <v/>
      </c>
      <c r="AB42" s="11" t="str">
        <f>Cek_B!Y95</f>
        <v/>
      </c>
    </row>
    <row r="43" spans="8:8">
      <c r="A43" s="7">
        <v>41.0</v>
      </c>
      <c r="B43" s="7" t="s">
        <v>1070</v>
      </c>
      <c r="C43" s="47" t="s">
        <v>1182</v>
      </c>
      <c r="D43" s="7" t="s">
        <v>57</v>
      </c>
      <c r="E43" s="48" t="s">
        <v>58</v>
      </c>
      <c r="F43" s="7">
        <v>6.25</v>
      </c>
      <c r="G43" s="9" t="str">
        <f>_xlfn.IFERROR(AVERAGE(H43:AB43)+ROW()*0.0000001,"")</f>
        <v/>
      </c>
      <c r="H43" s="11" t="str">
        <f>Cek_C!E5</f>
        <v/>
      </c>
      <c r="I43" s="11" t="str">
        <f>Cek_C!F5</f>
        <v/>
      </c>
      <c r="J43" s="11" t="str">
        <f>Cek_C!G5</f>
        <v/>
      </c>
      <c r="K43" s="11" t="str">
        <f>Cek_C!H5</f>
        <v/>
      </c>
      <c r="L43" s="11" t="str">
        <f>Cek_C!I5</f>
        <v/>
      </c>
      <c r="M43" s="11" t="str">
        <f>Cek_C!J5</f>
        <v/>
      </c>
      <c r="N43" s="11" t="str">
        <f>Cek_C!K5</f>
        <v/>
      </c>
      <c r="O43" s="11" t="str">
        <f>Cek_C!L5</f>
        <v/>
      </c>
      <c r="P43" s="11" t="str">
        <f>Cek_C!M5</f>
        <v/>
      </c>
      <c r="Q43" s="11" t="str">
        <f>Cek_C!N5</f>
        <v/>
      </c>
      <c r="R43" s="11" t="str">
        <f>Cek_C!O5</f>
        <v/>
      </c>
      <c r="S43" s="11" t="str">
        <f>Cek_C!P5</f>
        <v/>
      </c>
      <c r="T43" s="11" t="str">
        <f>Cek_C!Q5</f>
        <v/>
      </c>
      <c r="U43" s="11" t="str">
        <f>Cek_C!R5</f>
        <v/>
      </c>
      <c r="V43" s="11" t="str">
        <f>Cek_C!S5</f>
        <v/>
      </c>
      <c r="W43" s="11" t="str">
        <f>Cek_C!T5</f>
        <v/>
      </c>
      <c r="X43" s="11" t="str">
        <f>Cek_C!U5</f>
        <v/>
      </c>
      <c r="Y43" s="11" t="str">
        <f>Cek_C!V5</f>
        <v/>
      </c>
      <c r="Z43" s="11" t="str">
        <f>Cek_C!W5</f>
        <v/>
      </c>
      <c r="AA43" s="11" t="str">
        <f>Cek_C!X5</f>
        <v/>
      </c>
      <c r="AB43" s="11" t="str">
        <f>Cek_C!Y5</f>
        <v/>
      </c>
    </row>
    <row r="44" spans="8:8">
      <c r="A44" s="7">
        <v>42.0</v>
      </c>
      <c r="B44" s="7" t="s">
        <v>1070</v>
      </c>
      <c r="C44" s="47" t="s">
        <v>1182</v>
      </c>
      <c r="D44" s="7" t="s">
        <v>69</v>
      </c>
      <c r="E44" s="48" t="s">
        <v>70</v>
      </c>
      <c r="F44" s="7">
        <v>6.25</v>
      </c>
      <c r="G44" s="9" t="str">
        <f>_xlfn.IFERROR(AVERAGE(H44:AB44)+ROW()*0.0000001,"")</f>
        <v/>
      </c>
      <c r="H44" s="11" t="str">
        <f>Cek_C!E11</f>
        <v/>
      </c>
      <c r="I44" s="11" t="str">
        <f>Cek_C!F11</f>
        <v/>
      </c>
      <c r="J44" s="11" t="str">
        <f>Cek_C!G11</f>
        <v/>
      </c>
      <c r="K44" s="11" t="str">
        <f>Cek_C!H11</f>
        <v/>
      </c>
      <c r="L44" s="11" t="str">
        <f>Cek_C!I11</f>
        <v/>
      </c>
      <c r="M44" s="11" t="str">
        <f>Cek_C!J11</f>
        <v/>
      </c>
      <c r="N44" s="11" t="str">
        <f>Cek_C!K11</f>
        <v/>
      </c>
      <c r="O44" s="11" t="str">
        <f>Cek_C!L11</f>
        <v/>
      </c>
      <c r="P44" s="11" t="str">
        <f>Cek_C!M11</f>
        <v/>
      </c>
      <c r="Q44" s="11" t="str">
        <f>Cek_C!N11</f>
        <v/>
      </c>
      <c r="R44" s="11" t="str">
        <f>Cek_C!O11</f>
        <v/>
      </c>
      <c r="S44" s="11" t="str">
        <f>Cek_C!P11</f>
        <v/>
      </c>
      <c r="T44" s="11" t="str">
        <f>Cek_C!Q11</f>
        <v/>
      </c>
      <c r="U44" s="11" t="str">
        <f>Cek_C!R11</f>
        <v/>
      </c>
      <c r="V44" s="11" t="str">
        <f>Cek_C!S11</f>
        <v/>
      </c>
      <c r="W44" s="11" t="str">
        <f>Cek_C!T11</f>
        <v/>
      </c>
      <c r="X44" s="11" t="str">
        <f>Cek_C!U11</f>
        <v/>
      </c>
      <c r="Y44" s="11" t="str">
        <f>Cek_C!V11</f>
        <v/>
      </c>
      <c r="Z44" s="11" t="str">
        <f>Cek_C!W11</f>
        <v/>
      </c>
      <c r="AA44" s="11" t="str">
        <f>Cek_C!X11</f>
        <v/>
      </c>
      <c r="AB44" s="11" t="str">
        <f>Cek_C!Y11</f>
        <v/>
      </c>
    </row>
    <row r="45" spans="8:8">
      <c r="A45" s="7">
        <v>43.0</v>
      </c>
      <c r="B45" s="7" t="s">
        <v>1070</v>
      </c>
      <c r="C45" s="47" t="s">
        <v>1182</v>
      </c>
      <c r="D45" s="7" t="s">
        <v>81</v>
      </c>
      <c r="E45" s="48" t="s">
        <v>82</v>
      </c>
      <c r="F45" s="7">
        <v>6.25</v>
      </c>
      <c r="G45" s="9" t="str">
        <f>_xlfn.IFERROR(AVERAGE(H45:AB45)+ROW()*0.0000001,"")</f>
        <v/>
      </c>
      <c r="H45" s="11" t="str">
        <f>Cek_C!E17</f>
        <v/>
      </c>
      <c r="I45" s="11" t="str">
        <f>Cek_C!F17</f>
        <v/>
      </c>
      <c r="J45" s="11" t="str">
        <f>Cek_C!G17</f>
        <v/>
      </c>
      <c r="K45" s="11" t="str">
        <f>Cek_C!H17</f>
        <v/>
      </c>
      <c r="L45" s="11" t="str">
        <f>Cek_C!I17</f>
        <v/>
      </c>
      <c r="M45" s="11" t="str">
        <f>Cek_C!J17</f>
        <v/>
      </c>
      <c r="N45" s="11" t="str">
        <f>Cek_C!K17</f>
        <v/>
      </c>
      <c r="O45" s="11" t="str">
        <f>Cek_C!L17</f>
        <v/>
      </c>
      <c r="P45" s="11" t="str">
        <f>Cek_C!M17</f>
        <v/>
      </c>
      <c r="Q45" s="11" t="str">
        <f>Cek_C!N17</f>
        <v/>
      </c>
      <c r="R45" s="11" t="str">
        <f>Cek_C!O17</f>
        <v/>
      </c>
      <c r="S45" s="11" t="str">
        <f>Cek_C!P17</f>
        <v/>
      </c>
      <c r="T45" s="11" t="str">
        <f>Cek_C!Q17</f>
        <v/>
      </c>
      <c r="U45" s="11" t="str">
        <f>Cek_C!R17</f>
        <v/>
      </c>
      <c r="V45" s="11" t="str">
        <f>Cek_C!S17</f>
        <v/>
      </c>
      <c r="W45" s="11" t="str">
        <f>Cek_C!T17</f>
        <v/>
      </c>
      <c r="X45" s="11" t="str">
        <f>Cek_C!U17</f>
        <v/>
      </c>
      <c r="Y45" s="11" t="str">
        <f>Cek_C!V17</f>
        <v/>
      </c>
      <c r="Z45" s="11" t="str">
        <f>Cek_C!W17</f>
        <v/>
      </c>
      <c r="AA45" s="11" t="str">
        <f>Cek_C!X17</f>
        <v/>
      </c>
      <c r="AB45" s="11" t="str">
        <f>Cek_C!Y17</f>
        <v/>
      </c>
    </row>
    <row r="46" spans="8:8">
      <c r="A46" s="7">
        <v>44.0</v>
      </c>
      <c r="B46" s="7" t="s">
        <v>1070</v>
      </c>
      <c r="C46" s="47" t="s">
        <v>1182</v>
      </c>
      <c r="D46" s="7" t="s">
        <v>93</v>
      </c>
      <c r="E46" s="48" t="s">
        <v>94</v>
      </c>
      <c r="F46" s="7">
        <v>6.25</v>
      </c>
      <c r="G46" s="9" t="str">
        <f>_xlfn.IFERROR(AVERAGE(H46:AB46)+ROW()*0.0000001,"")</f>
        <v/>
      </c>
      <c r="H46" s="11" t="str">
        <f>Cek_C!E23</f>
        <v/>
      </c>
      <c r="I46" s="11" t="str">
        <f>Cek_C!F23</f>
        <v/>
      </c>
      <c r="J46" s="11" t="str">
        <f>Cek_C!G23</f>
        <v/>
      </c>
      <c r="K46" s="11" t="str">
        <f>Cek_C!H23</f>
        <v/>
      </c>
      <c r="L46" s="11" t="str">
        <f>Cek_C!I23</f>
        <v/>
      </c>
      <c r="M46" s="11" t="str">
        <f>Cek_C!J23</f>
        <v/>
      </c>
      <c r="N46" s="11" t="str">
        <f>Cek_C!K23</f>
        <v/>
      </c>
      <c r="O46" s="11" t="str">
        <f>Cek_C!L23</f>
        <v/>
      </c>
      <c r="P46" s="11" t="str">
        <f>Cek_C!M23</f>
        <v/>
      </c>
      <c r="Q46" s="11" t="str">
        <f>Cek_C!N23</f>
        <v/>
      </c>
      <c r="R46" s="11" t="str">
        <f>Cek_C!O23</f>
        <v/>
      </c>
      <c r="S46" s="11" t="str">
        <f>Cek_C!P23</f>
        <v/>
      </c>
      <c r="T46" s="11" t="str">
        <f>Cek_C!Q23</f>
        <v/>
      </c>
      <c r="U46" s="11" t="str">
        <f>Cek_C!R23</f>
        <v/>
      </c>
      <c r="V46" s="11" t="str">
        <f>Cek_C!S23</f>
        <v/>
      </c>
      <c r="W46" s="11" t="str">
        <f>Cek_C!T23</f>
        <v/>
      </c>
      <c r="X46" s="11" t="str">
        <f>Cek_C!U23</f>
        <v/>
      </c>
      <c r="Y46" s="11" t="str">
        <f>Cek_C!V23</f>
        <v/>
      </c>
      <c r="Z46" s="11" t="str">
        <f>Cek_C!W23</f>
        <v/>
      </c>
      <c r="AA46" s="11" t="str">
        <f>Cek_C!X23</f>
        <v/>
      </c>
      <c r="AB46" s="11" t="str">
        <f>Cek_C!Y23</f>
        <v/>
      </c>
    </row>
    <row r="47" spans="8:8">
      <c r="A47" s="7">
        <v>45.0</v>
      </c>
      <c r="B47" s="7" t="s">
        <v>1070</v>
      </c>
      <c r="C47" s="47" t="s">
        <v>1183</v>
      </c>
      <c r="D47" s="7" t="s">
        <v>107</v>
      </c>
      <c r="E47" s="48" t="s">
        <v>108</v>
      </c>
      <c r="F47" s="7">
        <v>6.25</v>
      </c>
      <c r="G47" s="9" t="str">
        <f>_xlfn.IFERROR(AVERAGE(H47:AB47)+ROW()*0.0000001,"")</f>
        <v/>
      </c>
      <c r="H47" s="11" t="str">
        <f>Cek_C!E31</f>
        <v/>
      </c>
      <c r="I47" s="11" t="str">
        <f>Cek_C!F31</f>
        <v/>
      </c>
      <c r="J47" s="11" t="str">
        <f>Cek_C!G31</f>
        <v/>
      </c>
      <c r="K47" s="11" t="str">
        <f>Cek_C!H31</f>
        <v/>
      </c>
      <c r="L47" s="11" t="str">
        <f>Cek_C!I31</f>
        <v/>
      </c>
      <c r="M47" s="11" t="str">
        <f>Cek_C!J31</f>
        <v/>
      </c>
      <c r="N47" s="11" t="str">
        <f>Cek_C!K31</f>
        <v/>
      </c>
      <c r="O47" s="11" t="str">
        <f>Cek_C!L31</f>
        <v/>
      </c>
      <c r="P47" s="11" t="str">
        <f>Cek_C!M31</f>
        <v/>
      </c>
      <c r="Q47" s="11" t="str">
        <f>Cek_C!N31</f>
        <v/>
      </c>
      <c r="R47" s="11" t="str">
        <f>Cek_C!O31</f>
        <v/>
      </c>
      <c r="S47" s="11" t="str">
        <f>Cek_C!P31</f>
        <v/>
      </c>
      <c r="T47" s="11" t="str">
        <f>Cek_C!Q31</f>
        <v/>
      </c>
      <c r="U47" s="11" t="str">
        <f>Cek_C!R31</f>
        <v/>
      </c>
      <c r="V47" s="11" t="str">
        <f>Cek_C!S31</f>
        <v/>
      </c>
      <c r="W47" s="11" t="str">
        <f>Cek_C!T31</f>
        <v/>
      </c>
      <c r="X47" s="11" t="str">
        <f>Cek_C!U31</f>
        <v/>
      </c>
      <c r="Y47" s="11" t="str">
        <f>Cek_C!V31</f>
        <v/>
      </c>
      <c r="Z47" s="11" t="str">
        <f>Cek_C!W31</f>
        <v/>
      </c>
      <c r="AA47" s="11" t="str">
        <f>Cek_C!X31</f>
        <v/>
      </c>
      <c r="AB47" s="11" t="str">
        <f>Cek_C!Y31</f>
        <v/>
      </c>
    </row>
    <row r="48" spans="8:8">
      <c r="A48" s="7">
        <v>46.0</v>
      </c>
      <c r="B48" s="7" t="s">
        <v>1070</v>
      </c>
      <c r="C48" s="47" t="s">
        <v>1183</v>
      </c>
      <c r="D48" s="7" t="s">
        <v>119</v>
      </c>
      <c r="E48" s="48" t="s">
        <v>120</v>
      </c>
      <c r="F48" s="7">
        <v>6.25</v>
      </c>
      <c r="G48" s="9" t="str">
        <f>_xlfn.IFERROR(AVERAGE(H48:AB48)+ROW()*0.0000001,"")</f>
        <v/>
      </c>
      <c r="H48" s="11" t="str">
        <f>Cek_C!E37</f>
        <v/>
      </c>
      <c r="I48" s="11" t="str">
        <f>Cek_C!F37</f>
        <v/>
      </c>
      <c r="J48" s="11" t="str">
        <f>Cek_C!G37</f>
        <v/>
      </c>
      <c r="K48" s="11" t="str">
        <f>Cek_C!H37</f>
        <v/>
      </c>
      <c r="L48" s="11" t="str">
        <f>Cek_C!I37</f>
        <v/>
      </c>
      <c r="M48" s="11" t="str">
        <f>Cek_C!J37</f>
        <v/>
      </c>
      <c r="N48" s="11" t="str">
        <f>Cek_C!K37</f>
        <v/>
      </c>
      <c r="O48" s="11" t="str">
        <f>Cek_C!L37</f>
        <v/>
      </c>
      <c r="P48" s="11" t="str">
        <f>Cek_C!M37</f>
        <v/>
      </c>
      <c r="Q48" s="11" t="str">
        <f>Cek_C!N37</f>
        <v/>
      </c>
      <c r="R48" s="11" t="str">
        <f>Cek_C!O37</f>
        <v/>
      </c>
      <c r="S48" s="11" t="str">
        <f>Cek_C!P37</f>
        <v/>
      </c>
      <c r="T48" s="11" t="str">
        <f>Cek_C!Q37</f>
        <v/>
      </c>
      <c r="U48" s="11" t="str">
        <f>Cek_C!R37</f>
        <v/>
      </c>
      <c r="V48" s="11" t="str">
        <f>Cek_C!S37</f>
        <v/>
      </c>
      <c r="W48" s="11" t="str">
        <f>Cek_C!T37</f>
        <v/>
      </c>
      <c r="X48" s="11" t="str">
        <f>Cek_C!U37</f>
        <v/>
      </c>
      <c r="Y48" s="11" t="str">
        <f>Cek_C!V37</f>
        <v/>
      </c>
      <c r="Z48" s="11" t="str">
        <f>Cek_C!W37</f>
        <v/>
      </c>
      <c r="AA48" s="11" t="str">
        <f>Cek_C!X37</f>
        <v/>
      </c>
      <c r="AB48" s="11" t="str">
        <f>Cek_C!Y37</f>
        <v/>
      </c>
    </row>
    <row r="49" spans="8:8">
      <c r="A49" s="7">
        <v>47.0</v>
      </c>
      <c r="B49" s="7" t="s">
        <v>1070</v>
      </c>
      <c r="C49" s="47" t="s">
        <v>1183</v>
      </c>
      <c r="D49" s="7" t="s">
        <v>131</v>
      </c>
      <c r="E49" s="48" t="s">
        <v>132</v>
      </c>
      <c r="F49" s="7">
        <v>6.25</v>
      </c>
      <c r="G49" s="9" t="str">
        <f>_xlfn.IFERROR(AVERAGE(H49:AB49)+ROW()*0.0000001,"")</f>
        <v/>
      </c>
      <c r="H49" s="11" t="str">
        <f>Cek_C!E43</f>
        <v/>
      </c>
      <c r="I49" s="11" t="str">
        <f>Cek_C!F43</f>
        <v/>
      </c>
      <c r="J49" s="11" t="str">
        <f>Cek_C!G43</f>
        <v/>
      </c>
      <c r="K49" s="11" t="str">
        <f>Cek_C!H43</f>
        <v/>
      </c>
      <c r="L49" s="11" t="str">
        <f>Cek_C!I43</f>
        <v/>
      </c>
      <c r="M49" s="11" t="str">
        <f>Cek_C!J43</f>
        <v/>
      </c>
      <c r="N49" s="11" t="str">
        <f>Cek_C!K43</f>
        <v/>
      </c>
      <c r="O49" s="11" t="str">
        <f>Cek_C!L43</f>
        <v/>
      </c>
      <c r="P49" s="11" t="str">
        <f>Cek_C!M43</f>
        <v/>
      </c>
      <c r="Q49" s="11" t="str">
        <f>Cek_C!N43</f>
        <v/>
      </c>
      <c r="R49" s="11" t="str">
        <f>Cek_C!O43</f>
        <v/>
      </c>
      <c r="S49" s="11" t="str">
        <f>Cek_C!P43</f>
        <v/>
      </c>
      <c r="T49" s="11" t="str">
        <f>Cek_C!Q43</f>
        <v/>
      </c>
      <c r="U49" s="11" t="str">
        <f>Cek_C!R43</f>
        <v/>
      </c>
      <c r="V49" s="11" t="str">
        <f>Cek_C!S43</f>
        <v/>
      </c>
      <c r="W49" s="11" t="str">
        <f>Cek_C!T43</f>
        <v/>
      </c>
      <c r="X49" s="11" t="str">
        <f>Cek_C!U43</f>
        <v/>
      </c>
      <c r="Y49" s="11" t="str">
        <f>Cek_C!V43</f>
        <v/>
      </c>
      <c r="Z49" s="11" t="str">
        <f>Cek_C!W43</f>
        <v/>
      </c>
      <c r="AA49" s="11" t="str">
        <f>Cek_C!X43</f>
        <v/>
      </c>
      <c r="AB49" s="11" t="str">
        <f>Cek_C!Y43</f>
        <v/>
      </c>
    </row>
    <row r="50" spans="8:8">
      <c r="A50" s="7">
        <v>48.0</v>
      </c>
      <c r="B50" s="7" t="s">
        <v>1070</v>
      </c>
      <c r="C50" s="47" t="s">
        <v>1184</v>
      </c>
      <c r="D50" s="7" t="s">
        <v>145</v>
      </c>
      <c r="E50" s="48" t="s">
        <v>146</v>
      </c>
      <c r="F50" s="7">
        <v>6.25</v>
      </c>
      <c r="G50" s="9" t="str">
        <f>_xlfn.IFERROR(AVERAGE(H50:AB50)+ROW()*0.0000001,"")</f>
        <v/>
      </c>
      <c r="H50" s="11" t="str">
        <f>Cek_C!E51</f>
        <v/>
      </c>
      <c r="I50" s="11" t="str">
        <f>Cek_C!F51</f>
        <v/>
      </c>
      <c r="J50" s="11" t="str">
        <f>Cek_C!G51</f>
        <v/>
      </c>
      <c r="K50" s="11" t="str">
        <f>Cek_C!H51</f>
        <v/>
      </c>
      <c r="L50" s="11" t="str">
        <f>Cek_C!I51</f>
        <v/>
      </c>
      <c r="M50" s="11" t="str">
        <f>Cek_C!J51</f>
        <v/>
      </c>
      <c r="N50" s="11" t="str">
        <f>Cek_C!K51</f>
        <v/>
      </c>
      <c r="O50" s="11" t="str">
        <f>Cek_C!L51</f>
        <v/>
      </c>
      <c r="P50" s="11" t="str">
        <f>Cek_C!M51</f>
        <v/>
      </c>
      <c r="Q50" s="11" t="str">
        <f>Cek_C!N51</f>
        <v/>
      </c>
      <c r="R50" s="11" t="str">
        <f>Cek_C!O51</f>
        <v/>
      </c>
      <c r="S50" s="11" t="str">
        <f>Cek_C!P51</f>
        <v/>
      </c>
      <c r="T50" s="11" t="str">
        <f>Cek_C!Q51</f>
        <v/>
      </c>
      <c r="U50" s="11" t="str">
        <f>Cek_C!R51</f>
        <v/>
      </c>
      <c r="V50" s="11" t="str">
        <f>Cek_C!S51</f>
        <v/>
      </c>
      <c r="W50" s="11" t="str">
        <f>Cek_C!T51</f>
        <v/>
      </c>
      <c r="X50" s="11" t="str">
        <f>Cek_C!U51</f>
        <v/>
      </c>
      <c r="Y50" s="11" t="str">
        <f>Cek_C!V51</f>
        <v/>
      </c>
      <c r="Z50" s="11" t="str">
        <f>Cek_C!W51</f>
        <v/>
      </c>
      <c r="AA50" s="11" t="str">
        <f>Cek_C!X51</f>
        <v/>
      </c>
      <c r="AB50" s="11" t="str">
        <f>Cek_C!Y51</f>
        <v/>
      </c>
    </row>
    <row r="51" spans="8:8">
      <c r="A51" s="7">
        <v>49.0</v>
      </c>
      <c r="B51" s="7" t="s">
        <v>1070</v>
      </c>
      <c r="C51" s="47" t="s">
        <v>1184</v>
      </c>
      <c r="D51" s="7" t="s">
        <v>157</v>
      </c>
      <c r="E51" s="48" t="s">
        <v>158</v>
      </c>
      <c r="F51" s="7">
        <v>6.25</v>
      </c>
      <c r="G51" s="9" t="str">
        <f>_xlfn.IFERROR(AVERAGE(H51:AB51)+ROW()*0.0000001,"")</f>
        <v/>
      </c>
      <c r="H51" s="11" t="str">
        <f>Cek_C!E57</f>
        <v/>
      </c>
      <c r="I51" s="11" t="str">
        <f>Cek_C!F57</f>
        <v/>
      </c>
      <c r="J51" s="11" t="str">
        <f>Cek_C!G57</f>
        <v/>
      </c>
      <c r="K51" s="11" t="str">
        <f>Cek_C!H57</f>
        <v/>
      </c>
      <c r="L51" s="11" t="str">
        <f>Cek_C!I57</f>
        <v/>
      </c>
      <c r="M51" s="11" t="str">
        <f>Cek_C!J57</f>
        <v/>
      </c>
      <c r="N51" s="11" t="str">
        <f>Cek_C!K57</f>
        <v/>
      </c>
      <c r="O51" s="11" t="str">
        <f>Cek_C!L57</f>
        <v/>
      </c>
      <c r="P51" s="11" t="str">
        <f>Cek_C!M57</f>
        <v/>
      </c>
      <c r="Q51" s="11" t="str">
        <f>Cek_C!N57</f>
        <v/>
      </c>
      <c r="R51" s="11" t="str">
        <f>Cek_C!O57</f>
        <v/>
      </c>
      <c r="S51" s="11" t="str">
        <f>Cek_C!P57</f>
        <v/>
      </c>
      <c r="T51" s="11" t="str">
        <f>Cek_C!Q57</f>
        <v/>
      </c>
      <c r="U51" s="11" t="str">
        <f>Cek_C!R57</f>
        <v/>
      </c>
      <c r="V51" s="11" t="str">
        <f>Cek_C!S57</f>
        <v/>
      </c>
      <c r="W51" s="11" t="str">
        <f>Cek_C!T57</f>
        <v/>
      </c>
      <c r="X51" s="11" t="str">
        <f>Cek_C!U57</f>
        <v/>
      </c>
      <c r="Y51" s="11" t="str">
        <f>Cek_C!V57</f>
        <v/>
      </c>
      <c r="Z51" s="11" t="str">
        <f>Cek_C!W57</f>
        <v/>
      </c>
      <c r="AA51" s="11" t="str">
        <f>Cek_C!X57</f>
        <v/>
      </c>
      <c r="AB51" s="11" t="str">
        <f>Cek_C!Y57</f>
        <v/>
      </c>
    </row>
    <row r="52" spans="8:8">
      <c r="A52" s="7">
        <v>50.0</v>
      </c>
      <c r="B52" s="7" t="s">
        <v>1070</v>
      </c>
      <c r="C52" s="47" t="s">
        <v>1184</v>
      </c>
      <c r="D52" s="7" t="s">
        <v>169</v>
      </c>
      <c r="E52" s="48" t="s">
        <v>170</v>
      </c>
      <c r="F52" s="7">
        <v>6.25</v>
      </c>
      <c r="G52" s="9" t="str">
        <f>_xlfn.IFERROR(AVERAGE(H52:AB52)+ROW()*0.0000001,"")</f>
        <v/>
      </c>
      <c r="H52" s="11" t="str">
        <f>Cek_C!E63</f>
        <v/>
      </c>
      <c r="I52" s="11" t="str">
        <f>Cek_C!F63</f>
        <v/>
      </c>
      <c r="J52" s="11" t="str">
        <f>Cek_C!G63</f>
        <v/>
      </c>
      <c r="K52" s="11" t="str">
        <f>Cek_C!H63</f>
        <v/>
      </c>
      <c r="L52" s="11" t="str">
        <f>Cek_C!I63</f>
        <v/>
      </c>
      <c r="M52" s="11" t="str">
        <f>Cek_C!J63</f>
        <v/>
      </c>
      <c r="N52" s="11" t="str">
        <f>Cek_C!K63</f>
        <v/>
      </c>
      <c r="O52" s="11" t="str">
        <f>Cek_C!L63</f>
        <v/>
      </c>
      <c r="P52" s="11" t="str">
        <f>Cek_C!M63</f>
        <v/>
      </c>
      <c r="Q52" s="11" t="str">
        <f>Cek_C!N63</f>
        <v/>
      </c>
      <c r="R52" s="11" t="str">
        <f>Cek_C!O63</f>
        <v/>
      </c>
      <c r="S52" s="11" t="str">
        <f>Cek_C!P63</f>
        <v/>
      </c>
      <c r="T52" s="11" t="str">
        <f>Cek_C!Q63</f>
        <v/>
      </c>
      <c r="U52" s="11" t="str">
        <f>Cek_C!R63</f>
        <v/>
      </c>
      <c r="V52" s="11" t="str">
        <f>Cek_C!S63</f>
        <v/>
      </c>
      <c r="W52" s="11" t="str">
        <f>Cek_C!T63</f>
        <v/>
      </c>
      <c r="X52" s="11" t="str">
        <f>Cek_C!U63</f>
        <v/>
      </c>
      <c r="Y52" s="11" t="str">
        <f>Cek_C!V63</f>
        <v/>
      </c>
      <c r="Z52" s="11" t="str">
        <f>Cek_C!W63</f>
        <v/>
      </c>
      <c r="AA52" s="11" t="str">
        <f>Cek_C!X63</f>
        <v/>
      </c>
      <c r="AB52" s="11" t="str">
        <f>Cek_C!Y63</f>
        <v/>
      </c>
    </row>
    <row r="53" spans="8:8">
      <c r="A53" s="7">
        <v>51.0</v>
      </c>
      <c r="B53" s="7" t="s">
        <v>1070</v>
      </c>
      <c r="C53" s="47" t="s">
        <v>1185</v>
      </c>
      <c r="D53" s="7" t="s">
        <v>183</v>
      </c>
      <c r="E53" s="48" t="s">
        <v>184</v>
      </c>
      <c r="F53" s="7">
        <v>6.25</v>
      </c>
      <c r="G53" s="9" t="str">
        <f>_xlfn.IFERROR(AVERAGE(H53:AB53)+ROW()*0.0000001,"")</f>
        <v/>
      </c>
      <c r="H53" s="11" t="str">
        <f>Cek_C!E71</f>
        <v/>
      </c>
      <c r="I53" s="11" t="str">
        <f>Cek_C!F71</f>
        <v/>
      </c>
      <c r="J53" s="11" t="str">
        <f>Cek_C!G71</f>
        <v/>
      </c>
      <c r="K53" s="11" t="str">
        <f>Cek_C!H71</f>
        <v/>
      </c>
      <c r="L53" s="11" t="str">
        <f>Cek_C!I71</f>
        <v/>
      </c>
      <c r="M53" s="11" t="str">
        <f>Cek_C!J71</f>
        <v/>
      </c>
      <c r="N53" s="11" t="str">
        <f>Cek_C!K71</f>
        <v/>
      </c>
      <c r="O53" s="11" t="str">
        <f>Cek_C!L71</f>
        <v/>
      </c>
      <c r="P53" s="11" t="str">
        <f>Cek_C!M71</f>
        <v/>
      </c>
      <c r="Q53" s="11" t="str">
        <f>Cek_C!N71</f>
        <v/>
      </c>
      <c r="R53" s="11" t="str">
        <f>Cek_C!O71</f>
        <v/>
      </c>
      <c r="S53" s="11" t="str">
        <f>Cek_C!P71</f>
        <v/>
      </c>
      <c r="T53" s="11" t="str">
        <f>Cek_C!Q71</f>
        <v/>
      </c>
      <c r="U53" s="11" t="str">
        <f>Cek_C!R71</f>
        <v/>
      </c>
      <c r="V53" s="11" t="str">
        <f>Cek_C!S71</f>
        <v/>
      </c>
      <c r="W53" s="11" t="str">
        <f>Cek_C!T71</f>
        <v/>
      </c>
      <c r="X53" s="11" t="str">
        <f>Cek_C!U71</f>
        <v/>
      </c>
      <c r="Y53" s="11" t="str">
        <f>Cek_C!V71</f>
        <v/>
      </c>
      <c r="Z53" s="11" t="str">
        <f>Cek_C!W71</f>
        <v/>
      </c>
      <c r="AA53" s="11" t="str">
        <f>Cek_C!X71</f>
        <v/>
      </c>
      <c r="AB53" s="11" t="str">
        <f>Cek_C!Y71</f>
        <v/>
      </c>
    </row>
    <row r="54" spans="8:8">
      <c r="A54" s="7">
        <v>52.0</v>
      </c>
      <c r="B54" s="7" t="s">
        <v>1070</v>
      </c>
      <c r="C54" s="47" t="s">
        <v>1185</v>
      </c>
      <c r="D54" s="7" t="s">
        <v>195</v>
      </c>
      <c r="E54" s="48" t="s">
        <v>196</v>
      </c>
      <c r="F54" s="7">
        <v>6.25</v>
      </c>
      <c r="G54" s="9" t="str">
        <f>_xlfn.IFERROR(AVERAGE(H54:AB54)+ROW()*0.0000001,"")</f>
        <v/>
      </c>
      <c r="H54" s="11" t="str">
        <f>Cek_C!E77</f>
        <v/>
      </c>
      <c r="I54" s="11" t="str">
        <f>Cek_C!F77</f>
        <v/>
      </c>
      <c r="J54" s="11" t="str">
        <f>Cek_C!G77</f>
        <v/>
      </c>
      <c r="K54" s="11" t="str">
        <f>Cek_C!H77</f>
        <v/>
      </c>
      <c r="L54" s="11" t="str">
        <f>Cek_C!I77</f>
        <v/>
      </c>
      <c r="M54" s="11" t="str">
        <f>Cek_C!J77</f>
        <v/>
      </c>
      <c r="N54" s="11" t="str">
        <f>Cek_C!K77</f>
        <v/>
      </c>
      <c r="O54" s="11" t="str">
        <f>Cek_C!L77</f>
        <v/>
      </c>
      <c r="P54" s="11" t="str">
        <f>Cek_C!M77</f>
        <v/>
      </c>
      <c r="Q54" s="11" t="str">
        <f>Cek_C!N77</f>
        <v/>
      </c>
      <c r="R54" s="11" t="str">
        <f>Cek_C!O77</f>
        <v/>
      </c>
      <c r="S54" s="11" t="str">
        <f>Cek_C!P77</f>
        <v/>
      </c>
      <c r="T54" s="11" t="str">
        <f>Cek_C!Q77</f>
        <v/>
      </c>
      <c r="U54" s="11" t="str">
        <f>Cek_C!R77</f>
        <v/>
      </c>
      <c r="V54" s="11" t="str">
        <f>Cek_C!S77</f>
        <v/>
      </c>
      <c r="W54" s="11" t="str">
        <f>Cek_C!T77</f>
        <v/>
      </c>
      <c r="X54" s="11" t="str">
        <f>Cek_C!U77</f>
        <v/>
      </c>
      <c r="Y54" s="11" t="str">
        <f>Cek_C!V77</f>
        <v/>
      </c>
      <c r="Z54" s="11" t="str">
        <f>Cek_C!W77</f>
        <v/>
      </c>
      <c r="AA54" s="11" t="str">
        <f>Cek_C!X77</f>
        <v/>
      </c>
      <c r="AB54" s="11" t="str">
        <f>Cek_C!Y77</f>
        <v/>
      </c>
    </row>
    <row r="55" spans="8:8">
      <c r="A55" s="7">
        <v>53.0</v>
      </c>
      <c r="B55" s="7" t="s">
        <v>1075</v>
      </c>
      <c r="C55" s="47" t="s">
        <v>1186</v>
      </c>
      <c r="D55" s="7" t="s">
        <v>12</v>
      </c>
      <c r="E55" s="48" t="s">
        <v>963</v>
      </c>
      <c r="F55" s="7">
        <v>10.0</v>
      </c>
      <c r="G55" s="9" t="str">
        <f>_xlfn.IFERROR(AVERAGE(H55:AB55)+ROW()*0.0000001,"")</f>
        <v/>
      </c>
      <c r="H55" s="11" t="str">
        <f>Cek_D!E5</f>
        <v/>
      </c>
      <c r="I55" s="11" t="str">
        <f>Cek_D!F5</f>
        <v/>
      </c>
      <c r="J55" s="11" t="str">
        <f>Cek_D!G5</f>
        <v/>
      </c>
      <c r="K55" s="11" t="str">
        <f>Cek_D!H5</f>
        <v/>
      </c>
      <c r="L55" s="11" t="str">
        <f>Cek_D!I5</f>
        <v/>
      </c>
      <c r="M55" s="11" t="str">
        <f>Cek_D!J5</f>
        <v/>
      </c>
      <c r="N55" s="11" t="str">
        <f>Cek_D!K5</f>
        <v/>
      </c>
      <c r="O55" s="11" t="str">
        <f>Cek_D!L5</f>
        <v/>
      </c>
      <c r="P55" s="11" t="str">
        <f>Cek_D!M5</f>
        <v/>
      </c>
      <c r="Q55" s="11" t="str">
        <f>Cek_D!N5</f>
        <v/>
      </c>
      <c r="R55" s="11" t="str">
        <f>Cek_D!O5</f>
        <v/>
      </c>
      <c r="S55" s="11" t="str">
        <f>Cek_D!P5</f>
        <v/>
      </c>
      <c r="T55" s="11" t="str">
        <f>Cek_D!Q5</f>
        <v/>
      </c>
      <c r="U55" s="11" t="str">
        <f>Cek_D!R5</f>
        <v/>
      </c>
      <c r="V55" s="11" t="str">
        <f>Cek_D!S5</f>
        <v/>
      </c>
      <c r="W55" s="11" t="str">
        <f>Cek_D!T5</f>
        <v/>
      </c>
      <c r="X55" s="11" t="str">
        <f>Cek_D!U5</f>
        <v/>
      </c>
      <c r="Y55" s="11" t="str">
        <f>Cek_D!V5</f>
        <v/>
      </c>
      <c r="Z55" s="11" t="str">
        <f>Cek_D!W5</f>
        <v/>
      </c>
      <c r="AA55" s="11" t="str">
        <f>Cek_D!X5</f>
        <v/>
      </c>
      <c r="AB55" s="11" t="str">
        <f>Cek_D!Y5</f>
        <v/>
      </c>
    </row>
    <row r="56" spans="8:8">
      <c r="A56" s="7">
        <v>54.0</v>
      </c>
      <c r="B56" s="7" t="s">
        <v>1075</v>
      </c>
      <c r="C56" s="47" t="s">
        <v>1186</v>
      </c>
      <c r="D56" s="7" t="s">
        <v>13</v>
      </c>
      <c r="E56" s="48" t="s">
        <v>969</v>
      </c>
      <c r="F56" s="7">
        <v>10.0</v>
      </c>
      <c r="G56" s="9" t="str">
        <f>_xlfn.IFERROR(AVERAGE(H56:AB56)+ROW()*0.0000001,"")</f>
        <v/>
      </c>
      <c r="H56" s="11" t="str">
        <f>Cek_D!E11</f>
        <v/>
      </c>
      <c r="I56" s="11" t="str">
        <f>Cek_D!F11</f>
        <v/>
      </c>
      <c r="J56" s="11" t="str">
        <f>Cek_D!G11</f>
        <v/>
      </c>
      <c r="K56" s="11" t="str">
        <f>Cek_D!H11</f>
        <v/>
      </c>
      <c r="L56" s="11" t="str">
        <f>Cek_D!I11</f>
        <v/>
      </c>
      <c r="M56" s="11" t="str">
        <f>Cek_D!J11</f>
        <v/>
      </c>
      <c r="N56" s="11" t="str">
        <f>Cek_D!K11</f>
        <v/>
      </c>
      <c r="O56" s="11" t="str">
        <f>Cek_D!L11</f>
        <v/>
      </c>
      <c r="P56" s="11" t="str">
        <f>Cek_D!M11</f>
        <v/>
      </c>
      <c r="Q56" s="11" t="str">
        <f>Cek_D!N11</f>
        <v/>
      </c>
      <c r="R56" s="11" t="str">
        <f>Cek_D!O11</f>
        <v/>
      </c>
      <c r="S56" s="11" t="str">
        <f>Cek_D!P11</f>
        <v/>
      </c>
      <c r="T56" s="11" t="str">
        <f>Cek_D!Q11</f>
        <v/>
      </c>
      <c r="U56" s="11" t="str">
        <f>Cek_D!R11</f>
        <v/>
      </c>
      <c r="V56" s="11" t="str">
        <f>Cek_D!S11</f>
        <v/>
      </c>
      <c r="W56" s="11" t="str">
        <f>Cek_D!T11</f>
        <v/>
      </c>
      <c r="X56" s="11" t="str">
        <f>Cek_D!U11</f>
        <v/>
      </c>
      <c r="Y56" s="11" t="str">
        <f>Cek_D!V11</f>
        <v/>
      </c>
      <c r="Z56" s="11" t="str">
        <f>Cek_D!W11</f>
        <v/>
      </c>
      <c r="AA56" s="11" t="str">
        <f>Cek_D!X11</f>
        <v/>
      </c>
      <c r="AB56" s="11" t="str">
        <f>Cek_D!Y11</f>
        <v/>
      </c>
    </row>
    <row r="57" spans="8:8">
      <c r="A57" s="7">
        <v>55.0</v>
      </c>
      <c r="B57" s="7" t="s">
        <v>1075</v>
      </c>
      <c r="C57" s="47" t="s">
        <v>1186</v>
      </c>
      <c r="D57" s="7" t="s">
        <v>14</v>
      </c>
      <c r="E57" s="48" t="s">
        <v>975</v>
      </c>
      <c r="F57" s="7">
        <v>10.0</v>
      </c>
      <c r="G57" s="9" t="str">
        <f>_xlfn.IFERROR(AVERAGE(H57:AB57)+ROW()*0.0000001,"")</f>
        <v/>
      </c>
      <c r="H57" s="11" t="str">
        <f>Cek_D!E17</f>
        <v/>
      </c>
      <c r="I57" s="11" t="str">
        <f>Cek_D!F17</f>
        <v/>
      </c>
      <c r="J57" s="11" t="str">
        <f>Cek_D!G17</f>
        <v/>
      </c>
      <c r="K57" s="11" t="str">
        <f>Cek_D!H17</f>
        <v/>
      </c>
      <c r="L57" s="11" t="str">
        <f>Cek_D!I17</f>
        <v/>
      </c>
      <c r="M57" s="11" t="str">
        <f>Cek_D!J17</f>
        <v/>
      </c>
      <c r="N57" s="11" t="str">
        <f>Cek_D!K17</f>
        <v/>
      </c>
      <c r="O57" s="11" t="str">
        <f>Cek_D!L17</f>
        <v/>
      </c>
      <c r="P57" s="11" t="str">
        <f>Cek_D!M17</f>
        <v/>
      </c>
      <c r="Q57" s="11" t="str">
        <f>Cek_D!N17</f>
        <v/>
      </c>
      <c r="R57" s="11" t="str">
        <f>Cek_D!O17</f>
        <v/>
      </c>
      <c r="S57" s="11" t="str">
        <f>Cek_D!P17</f>
        <v/>
      </c>
      <c r="T57" s="11" t="str">
        <f>Cek_D!Q17</f>
        <v/>
      </c>
      <c r="U57" s="11" t="str">
        <f>Cek_D!R17</f>
        <v/>
      </c>
      <c r="V57" s="11" t="str">
        <f>Cek_D!S17</f>
        <v/>
      </c>
      <c r="W57" s="11" t="str">
        <f>Cek_D!T17</f>
        <v/>
      </c>
      <c r="X57" s="11" t="str">
        <f>Cek_D!U17</f>
        <v/>
      </c>
      <c r="Y57" s="11" t="str">
        <f>Cek_D!V17</f>
        <v/>
      </c>
      <c r="Z57" s="11" t="str">
        <f>Cek_D!W17</f>
        <v/>
      </c>
      <c r="AA57" s="11" t="str">
        <f>Cek_D!X17</f>
        <v/>
      </c>
      <c r="AB57" s="11" t="str">
        <f>Cek_D!Y17</f>
        <v/>
      </c>
    </row>
    <row r="58" spans="8:8">
      <c r="A58" s="7">
        <v>56.0</v>
      </c>
      <c r="B58" s="7" t="s">
        <v>1075</v>
      </c>
      <c r="C58" s="47" t="s">
        <v>1186</v>
      </c>
      <c r="D58" s="7" t="s">
        <v>15</v>
      </c>
      <c r="E58" s="48" t="s">
        <v>981</v>
      </c>
      <c r="F58" s="7">
        <v>10.0</v>
      </c>
      <c r="G58" s="9" t="str">
        <f>_xlfn.IFERROR(AVERAGE(H58:AB58)+ROW()*0.0000001,"")</f>
        <v/>
      </c>
      <c r="H58" s="11" t="str">
        <f>Cek_D!E23</f>
        <v/>
      </c>
      <c r="I58" s="11" t="str">
        <f>Cek_D!F23</f>
        <v/>
      </c>
      <c r="J58" s="11" t="str">
        <f>Cek_D!G23</f>
        <v/>
      </c>
      <c r="K58" s="11" t="str">
        <f>Cek_D!H23</f>
        <v/>
      </c>
      <c r="L58" s="11" t="str">
        <f>Cek_D!I23</f>
        <v/>
      </c>
      <c r="M58" s="11" t="str">
        <f>Cek_D!J23</f>
        <v/>
      </c>
      <c r="N58" s="11" t="str">
        <f>Cek_D!K23</f>
        <v/>
      </c>
      <c r="O58" s="11" t="str">
        <f>Cek_D!L23</f>
        <v/>
      </c>
      <c r="P58" s="11" t="str">
        <f>Cek_D!M23</f>
        <v/>
      </c>
      <c r="Q58" s="11" t="str">
        <f>Cek_D!N23</f>
        <v/>
      </c>
      <c r="R58" s="11" t="str">
        <f>Cek_D!O23</f>
        <v/>
      </c>
      <c r="S58" s="11" t="str">
        <f>Cek_D!P23</f>
        <v/>
      </c>
      <c r="T58" s="11" t="str">
        <f>Cek_D!Q23</f>
        <v/>
      </c>
      <c r="U58" s="11" t="str">
        <f>Cek_D!R23</f>
        <v/>
      </c>
      <c r="V58" s="11" t="str">
        <f>Cek_D!S23</f>
        <v/>
      </c>
      <c r="W58" s="11" t="str">
        <f>Cek_D!T23</f>
        <v/>
      </c>
      <c r="X58" s="11" t="str">
        <f>Cek_D!U23</f>
        <v/>
      </c>
      <c r="Y58" s="11" t="str">
        <f>Cek_D!V23</f>
        <v/>
      </c>
      <c r="Z58" s="11" t="str">
        <f>Cek_D!W23</f>
        <v/>
      </c>
      <c r="AA58" s="11" t="str">
        <f>Cek_D!X23</f>
        <v/>
      </c>
      <c r="AB58" s="11" t="str">
        <f>Cek_D!Y23</f>
        <v/>
      </c>
    </row>
    <row r="59" spans="8:8">
      <c r="A59" s="7">
        <v>57.0</v>
      </c>
      <c r="B59" s="7" t="s">
        <v>1075</v>
      </c>
      <c r="C59" s="47" t="s">
        <v>1187</v>
      </c>
      <c r="D59" s="7" t="s">
        <v>16</v>
      </c>
      <c r="E59" s="48" t="s">
        <v>988</v>
      </c>
      <c r="F59" s="7">
        <v>10.0</v>
      </c>
      <c r="G59" s="9" t="str">
        <f>_xlfn.IFERROR(AVERAGE(H59:AB59)+ROW()*0.0000001,"")</f>
        <v/>
      </c>
      <c r="H59" s="11" t="str">
        <f>Cek_D!E31</f>
        <v/>
      </c>
      <c r="I59" s="11" t="str">
        <f>Cek_D!F31</f>
        <v/>
      </c>
      <c r="J59" s="11" t="str">
        <f>Cek_D!G31</f>
        <v/>
      </c>
      <c r="K59" s="11" t="str">
        <f>Cek_D!H31</f>
        <v/>
      </c>
      <c r="L59" s="11" t="str">
        <f>Cek_D!I31</f>
        <v/>
      </c>
      <c r="M59" s="11" t="str">
        <f>Cek_D!J31</f>
        <v/>
      </c>
      <c r="N59" s="11" t="str">
        <f>Cek_D!K31</f>
        <v/>
      </c>
      <c r="O59" s="11" t="str">
        <f>Cek_D!L31</f>
        <v/>
      </c>
      <c r="P59" s="11" t="str">
        <f>Cek_D!M31</f>
        <v/>
      </c>
      <c r="Q59" s="11" t="str">
        <f>Cek_D!N31</f>
        <v/>
      </c>
      <c r="R59" s="11" t="str">
        <f>Cek_D!O31</f>
        <v/>
      </c>
      <c r="S59" s="11" t="str">
        <f>Cek_D!P31</f>
        <v/>
      </c>
      <c r="T59" s="11" t="str">
        <f>Cek_D!Q31</f>
        <v/>
      </c>
      <c r="U59" s="11" t="str">
        <f>Cek_D!R31</f>
        <v/>
      </c>
      <c r="V59" s="11" t="str">
        <f>Cek_D!S31</f>
        <v/>
      </c>
      <c r="W59" s="11" t="str">
        <f>Cek_D!T31</f>
        <v/>
      </c>
      <c r="X59" s="11" t="str">
        <f>Cek_D!U31</f>
        <v/>
      </c>
      <c r="Y59" s="11" t="str">
        <f>Cek_D!V31</f>
        <v/>
      </c>
      <c r="Z59" s="11" t="str">
        <f>Cek_D!W31</f>
        <v/>
      </c>
      <c r="AA59" s="11" t="str">
        <f>Cek_D!X31</f>
        <v/>
      </c>
      <c r="AB59" s="11" t="str">
        <f>Cek_D!Y31</f>
        <v/>
      </c>
    </row>
    <row r="60" spans="8:8">
      <c r="A60" s="7">
        <v>58.0</v>
      </c>
      <c r="B60" s="7" t="s">
        <v>1075</v>
      </c>
      <c r="C60" s="47" t="s">
        <v>1187</v>
      </c>
      <c r="D60" s="7" t="s">
        <v>17</v>
      </c>
      <c r="E60" s="48" t="s">
        <v>994</v>
      </c>
      <c r="F60" s="7">
        <v>10.0</v>
      </c>
      <c r="G60" s="9" t="str">
        <f>_xlfn.IFERROR(AVERAGE(H60:AB60)+ROW()*0.0000001,"")</f>
        <v/>
      </c>
      <c r="H60" s="11" t="str">
        <f>Cek_D!E37</f>
        <v/>
      </c>
      <c r="I60" s="11" t="str">
        <f>Cek_D!F37</f>
        <v/>
      </c>
      <c r="J60" s="11" t="str">
        <f>Cek_D!G37</f>
        <v/>
      </c>
      <c r="K60" s="11" t="str">
        <f>Cek_D!H37</f>
        <v/>
      </c>
      <c r="L60" s="11" t="str">
        <f>Cek_D!I37</f>
        <v/>
      </c>
      <c r="M60" s="11" t="str">
        <f>Cek_D!J37</f>
        <v/>
      </c>
      <c r="N60" s="11" t="str">
        <f>Cek_D!K37</f>
        <v/>
      </c>
      <c r="O60" s="11" t="str">
        <f>Cek_D!L37</f>
        <v/>
      </c>
      <c r="P60" s="11" t="str">
        <f>Cek_D!M37</f>
        <v/>
      </c>
      <c r="Q60" s="11" t="str">
        <f>Cek_D!N37</f>
        <v/>
      </c>
      <c r="R60" s="11" t="str">
        <f>Cek_D!O37</f>
        <v/>
      </c>
      <c r="S60" s="11" t="str">
        <f>Cek_D!P37</f>
        <v/>
      </c>
      <c r="T60" s="11" t="str">
        <f>Cek_D!Q37</f>
        <v/>
      </c>
      <c r="U60" s="11" t="str">
        <f>Cek_D!R37</f>
        <v/>
      </c>
      <c r="V60" s="11" t="str">
        <f>Cek_D!S37</f>
        <v/>
      </c>
      <c r="W60" s="11" t="str">
        <f>Cek_D!T37</f>
        <v/>
      </c>
      <c r="X60" s="11" t="str">
        <f>Cek_D!U37</f>
        <v/>
      </c>
      <c r="Y60" s="11" t="str">
        <f>Cek_D!V37</f>
        <v/>
      </c>
      <c r="Z60" s="11" t="str">
        <f>Cek_D!W37</f>
        <v/>
      </c>
      <c r="AA60" s="11" t="str">
        <f>Cek_D!X37</f>
        <v/>
      </c>
      <c r="AB60" s="11" t="str">
        <f>Cek_D!Y37</f>
        <v/>
      </c>
    </row>
    <row r="61" spans="8:8">
      <c r="A61" s="7">
        <v>59.0</v>
      </c>
      <c r="B61" s="7" t="s">
        <v>1075</v>
      </c>
      <c r="C61" s="47" t="s">
        <v>1187</v>
      </c>
      <c r="D61" s="7" t="s">
        <v>18</v>
      </c>
      <c r="E61" s="48" t="s">
        <v>1005</v>
      </c>
      <c r="F61" s="7">
        <v>10.0</v>
      </c>
      <c r="G61" s="9" t="str">
        <f>_xlfn.IFERROR(AVERAGE(H61:AB61)+ROW()*0.0000001,"")</f>
        <v/>
      </c>
      <c r="H61" s="11" t="str">
        <f>Cek_D!E43</f>
        <v/>
      </c>
      <c r="I61" s="11" t="str">
        <f>Cek_D!F43</f>
        <v/>
      </c>
      <c r="J61" s="11" t="str">
        <f>Cek_D!G43</f>
        <v/>
      </c>
      <c r="K61" s="11" t="str">
        <f>Cek_D!H43</f>
        <v/>
      </c>
      <c r="L61" s="11" t="str">
        <f>Cek_D!I43</f>
        <v/>
      </c>
      <c r="M61" s="11" t="str">
        <f>Cek_D!J43</f>
        <v/>
      </c>
      <c r="N61" s="11" t="str">
        <f>Cek_D!K43</f>
        <v/>
      </c>
      <c r="O61" s="11" t="str">
        <f>Cek_D!L43</f>
        <v/>
      </c>
      <c r="P61" s="11" t="str">
        <f>Cek_D!M43</f>
        <v/>
      </c>
      <c r="Q61" s="11" t="str">
        <f>Cek_D!N43</f>
        <v/>
      </c>
      <c r="R61" s="11" t="str">
        <f>Cek_D!O43</f>
        <v/>
      </c>
      <c r="S61" s="11" t="str">
        <f>Cek_D!P43</f>
        <v/>
      </c>
      <c r="T61" s="11" t="str">
        <f>Cek_D!Q43</f>
        <v/>
      </c>
      <c r="U61" s="11" t="str">
        <f>Cek_D!R43</f>
        <v/>
      </c>
      <c r="V61" s="11" t="str">
        <f>Cek_D!S43</f>
        <v/>
      </c>
      <c r="W61" s="11" t="str">
        <f>Cek_D!T43</f>
        <v/>
      </c>
      <c r="X61" s="11" t="str">
        <f>Cek_D!U43</f>
        <v/>
      </c>
      <c r="Y61" s="11" t="str">
        <f>Cek_D!V43</f>
        <v/>
      </c>
      <c r="Z61" s="11" t="str">
        <f>Cek_D!W43</f>
        <v/>
      </c>
      <c r="AA61" s="11" t="str">
        <f>Cek_D!X43</f>
        <v/>
      </c>
      <c r="AB61" s="11" t="str">
        <f>Cek_D!Y43</f>
        <v/>
      </c>
    </row>
    <row r="62" spans="8:8">
      <c r="A62" s="7">
        <v>60.0</v>
      </c>
      <c r="B62" s="7" t="s">
        <v>1075</v>
      </c>
      <c r="C62" s="47" t="s">
        <v>1188</v>
      </c>
      <c r="D62" s="7" t="s">
        <v>1018</v>
      </c>
      <c r="E62" s="48" t="s">
        <v>1019</v>
      </c>
      <c r="F62" s="7">
        <v>10.0</v>
      </c>
      <c r="G62" s="9" t="str">
        <f>_xlfn.IFERROR(AVERAGE(H62:AB62)+ROW()*0.0000001,"")</f>
        <v/>
      </c>
      <c r="H62" s="11" t="str">
        <f>Cek_D!E51</f>
        <v/>
      </c>
      <c r="I62" s="11" t="str">
        <f>Cek_D!F51</f>
        <v/>
      </c>
      <c r="J62" s="11" t="str">
        <f>Cek_D!G51</f>
        <v/>
      </c>
      <c r="K62" s="11" t="str">
        <f>Cek_D!H51</f>
        <v/>
      </c>
      <c r="L62" s="11" t="str">
        <f>Cek_D!I51</f>
        <v/>
      </c>
      <c r="M62" s="11" t="str">
        <f>Cek_D!J51</f>
        <v/>
      </c>
      <c r="N62" s="11" t="str">
        <f>Cek_D!K51</f>
        <v/>
      </c>
      <c r="O62" s="11" t="str">
        <f>Cek_D!L51</f>
        <v/>
      </c>
      <c r="P62" s="11" t="str">
        <f>Cek_D!M51</f>
        <v/>
      </c>
      <c r="Q62" s="11" t="str">
        <f>Cek_D!N51</f>
        <v/>
      </c>
      <c r="R62" s="11" t="str">
        <f>Cek_D!O51</f>
        <v/>
      </c>
      <c r="S62" s="11" t="str">
        <f>Cek_D!P51</f>
        <v/>
      </c>
      <c r="T62" s="11" t="str">
        <f>Cek_D!Q51</f>
        <v/>
      </c>
      <c r="U62" s="11" t="str">
        <f>Cek_D!R51</f>
        <v/>
      </c>
      <c r="V62" s="11" t="str">
        <f>Cek_D!S51</f>
        <v/>
      </c>
      <c r="W62" s="11" t="str">
        <f>Cek_D!T51</f>
        <v/>
      </c>
      <c r="X62" s="11" t="str">
        <f>Cek_D!U51</f>
        <v/>
      </c>
      <c r="Y62" s="11" t="str">
        <f>Cek_D!V51</f>
        <v/>
      </c>
      <c r="Z62" s="11" t="str">
        <f>Cek_D!W51</f>
        <v/>
      </c>
      <c r="AA62" s="11" t="str">
        <f>Cek_D!X51</f>
        <v/>
      </c>
      <c r="AB62" s="11" t="str">
        <f>Cek_D!Y51</f>
        <v/>
      </c>
    </row>
    <row r="63" spans="8:8">
      <c r="A63" s="7">
        <v>61.0</v>
      </c>
      <c r="B63" s="7" t="s">
        <v>1075</v>
      </c>
      <c r="C63" s="47" t="s">
        <v>1188</v>
      </c>
      <c r="D63" s="7" t="s">
        <v>1030</v>
      </c>
      <c r="E63" s="48" t="s">
        <v>1031</v>
      </c>
      <c r="F63" s="7">
        <v>10.0</v>
      </c>
      <c r="G63" s="9" t="str">
        <f>_xlfn.IFERROR(AVERAGE(H63:AB63)+ROW()*0.0000001,"")</f>
        <v/>
      </c>
      <c r="H63" s="11" t="str">
        <f>Cek_D!E57</f>
        <v/>
      </c>
      <c r="I63" s="11" t="str">
        <f>Cek_D!F57</f>
        <v/>
      </c>
      <c r="J63" s="11" t="str">
        <f>Cek_D!G57</f>
        <v/>
      </c>
      <c r="K63" s="11" t="str">
        <f>Cek_D!H57</f>
        <v/>
      </c>
      <c r="L63" s="11" t="str">
        <f>Cek_D!I57</f>
        <v/>
      </c>
      <c r="M63" s="11" t="str">
        <f>Cek_D!J57</f>
        <v/>
      </c>
      <c r="N63" s="11" t="str">
        <f>Cek_D!K57</f>
        <v/>
      </c>
      <c r="O63" s="11" t="str">
        <f>Cek_D!L57</f>
        <v/>
      </c>
      <c r="P63" s="11" t="str">
        <f>Cek_D!M57</f>
        <v/>
      </c>
      <c r="Q63" s="11" t="str">
        <f>Cek_D!N57</f>
        <v/>
      </c>
      <c r="R63" s="11" t="str">
        <f>Cek_D!O57</f>
        <v/>
      </c>
      <c r="S63" s="11" t="str">
        <f>Cek_D!P57</f>
        <v/>
      </c>
      <c r="T63" s="11" t="str">
        <f>Cek_D!Q57</f>
        <v/>
      </c>
      <c r="U63" s="11" t="str">
        <f>Cek_D!R57</f>
        <v/>
      </c>
      <c r="V63" s="11" t="str">
        <f>Cek_D!S57</f>
        <v/>
      </c>
      <c r="W63" s="11" t="str">
        <f>Cek_D!T57</f>
        <v/>
      </c>
      <c r="X63" s="11" t="str">
        <f>Cek_D!U57</f>
        <v/>
      </c>
      <c r="Y63" s="11" t="str">
        <f>Cek_D!V57</f>
        <v/>
      </c>
      <c r="Z63" s="11" t="str">
        <f>Cek_D!W57</f>
        <v/>
      </c>
      <c r="AA63" s="11" t="str">
        <f>Cek_D!X57</f>
        <v/>
      </c>
      <c r="AB63" s="11" t="str">
        <f>Cek_D!Y57</f>
        <v/>
      </c>
    </row>
    <row r="64" spans="8:8">
      <c r="A64" s="7">
        <v>62.0</v>
      </c>
      <c r="B64" s="7" t="s">
        <v>1075</v>
      </c>
      <c r="C64" s="47" t="s">
        <v>1188</v>
      </c>
      <c r="D64" s="7" t="s">
        <v>1042</v>
      </c>
      <c r="E64" s="48" t="s">
        <v>1043</v>
      </c>
      <c r="F64" s="7">
        <v>10.0</v>
      </c>
      <c r="G64" s="9" t="str">
        <f>_xlfn.IFERROR(AVERAGE(H64:AB64)+ROW()*0.0000001,"")</f>
        <v/>
      </c>
      <c r="H64" s="11" t="str">
        <f>Cek_D!E63</f>
        <v/>
      </c>
      <c r="I64" s="11" t="str">
        <f>Cek_D!F63</f>
        <v/>
      </c>
      <c r="J64" s="11" t="str">
        <f>Cek_D!G63</f>
        <v/>
      </c>
      <c r="K64" s="11" t="str">
        <f>Cek_D!H63</f>
        <v/>
      </c>
      <c r="L64" s="11" t="str">
        <f>Cek_D!I63</f>
        <v/>
      </c>
      <c r="M64" s="11" t="str">
        <f>Cek_D!J63</f>
        <v/>
      </c>
      <c r="N64" s="11" t="str">
        <f>Cek_D!K63</f>
        <v/>
      </c>
      <c r="O64" s="11" t="str">
        <f>Cek_D!L63</f>
        <v/>
      </c>
      <c r="P64" s="11" t="str">
        <f>Cek_D!M63</f>
        <v/>
      </c>
      <c r="Q64" s="11" t="str">
        <f>Cek_D!N63</f>
        <v/>
      </c>
      <c r="R64" s="11" t="str">
        <f>Cek_D!O63</f>
        <v/>
      </c>
      <c r="S64" s="11" t="str">
        <f>Cek_D!P63</f>
        <v/>
      </c>
      <c r="T64" s="11" t="str">
        <f>Cek_D!Q63</f>
        <v/>
      </c>
      <c r="U64" s="11" t="str">
        <f>Cek_D!R63</f>
        <v/>
      </c>
      <c r="V64" s="11" t="str">
        <f>Cek_D!S63</f>
        <v/>
      </c>
      <c r="W64" s="11" t="str">
        <f>Cek_D!T63</f>
        <v/>
      </c>
      <c r="X64" s="11" t="str">
        <f>Cek_D!U63</f>
        <v/>
      </c>
      <c r="Y64" s="11" t="str">
        <f>Cek_D!V63</f>
        <v/>
      </c>
      <c r="Z64" s="11" t="str">
        <f>Cek_D!W63</f>
        <v/>
      </c>
      <c r="AA64" s="11" t="str">
        <f>Cek_D!X63</f>
        <v/>
      </c>
      <c r="AB64" s="11" t="str">
        <f>Cek_D!Y63</f>
        <v/>
      </c>
    </row>
    <row r="65" spans="8:8">
      <c r="A65" s="7">
        <v>63.0</v>
      </c>
      <c r="B65" s="7" t="s">
        <v>1079</v>
      </c>
      <c r="C65" s="47" t="s">
        <v>1189</v>
      </c>
      <c r="D65" s="7" t="s">
        <v>211</v>
      </c>
      <c r="E65" s="48" t="s">
        <v>212</v>
      </c>
      <c r="F65" s="7">
        <v>6.7</v>
      </c>
      <c r="G65" s="9" t="str">
        <f>_xlfn.IFERROR(AVERAGE(H65:AB65)+ROW()*0.0000001,"")</f>
        <v/>
      </c>
      <c r="H65" s="11" t="str">
        <f>Cek_E!E5</f>
        <v/>
      </c>
      <c r="I65" s="11" t="str">
        <f>Cek_E!F5</f>
        <v/>
      </c>
      <c r="J65" s="11" t="str">
        <f>Cek_E!G5</f>
        <v/>
      </c>
      <c r="K65" s="11" t="str">
        <f>Cek_E!H5</f>
        <v/>
      </c>
      <c r="L65" s="11" t="str">
        <f>Cek_E!I5</f>
        <v/>
      </c>
      <c r="M65" s="11" t="str">
        <f>Cek_E!J5</f>
        <v/>
      </c>
      <c r="N65" s="11" t="str">
        <f>Cek_E!K5</f>
        <v/>
      </c>
      <c r="O65" s="11" t="str">
        <f>Cek_E!L5</f>
        <v/>
      </c>
      <c r="P65" s="11" t="str">
        <f>Cek_E!M5</f>
        <v/>
      </c>
      <c r="Q65" s="11" t="str">
        <f>Cek_E!N5</f>
        <v/>
      </c>
      <c r="R65" s="11" t="str">
        <f>Cek_E!O5</f>
        <v/>
      </c>
      <c r="S65" s="11" t="str">
        <f>Cek_E!P5</f>
        <v/>
      </c>
      <c r="T65" s="11" t="str">
        <f>Cek_E!Q5</f>
        <v/>
      </c>
      <c r="U65" s="11" t="str">
        <f>Cek_E!R5</f>
        <v/>
      </c>
      <c r="V65" s="11" t="str">
        <f>Cek_E!S5</f>
        <v/>
      </c>
      <c r="W65" s="11" t="str">
        <f>Cek_E!T5</f>
        <v/>
      </c>
      <c r="X65" s="11" t="str">
        <f>Cek_E!U5</f>
        <v/>
      </c>
      <c r="Y65" s="11" t="str">
        <f>Cek_E!V5</f>
        <v/>
      </c>
      <c r="Z65" s="11" t="str">
        <f>Cek_E!W5</f>
        <v/>
      </c>
      <c r="AA65" s="11" t="str">
        <f>Cek_E!X5</f>
        <v/>
      </c>
      <c r="AB65" s="11" t="str">
        <f>Cek_E!Y5</f>
        <v/>
      </c>
    </row>
    <row r="66" spans="8:8">
      <c r="A66" s="7">
        <v>64.0</v>
      </c>
      <c r="B66" s="7" t="s">
        <v>1079</v>
      </c>
      <c r="C66" s="47" t="s">
        <v>1189</v>
      </c>
      <c r="D66" s="7" t="s">
        <v>223</v>
      </c>
      <c r="E66" s="48" t="s">
        <v>224</v>
      </c>
      <c r="F66" s="7">
        <v>6.7</v>
      </c>
      <c r="G66" s="9" t="str">
        <f>_xlfn.IFERROR(AVERAGE(H66:AB66)+ROW()*0.0000001,"")</f>
        <v/>
      </c>
      <c r="H66" s="11" t="str">
        <f>Cek_E!E11</f>
        <v/>
      </c>
      <c r="I66" s="11" t="str">
        <f>Cek_E!F11</f>
        <v/>
      </c>
      <c r="J66" s="11" t="str">
        <f>Cek_E!G11</f>
        <v/>
      </c>
      <c r="K66" s="11" t="str">
        <f>Cek_E!H11</f>
        <v/>
      </c>
      <c r="L66" s="11" t="str">
        <f>Cek_E!I11</f>
        <v/>
      </c>
      <c r="M66" s="11" t="str">
        <f>Cek_E!J11</f>
        <v/>
      </c>
      <c r="N66" s="11" t="str">
        <f>Cek_E!K11</f>
        <v/>
      </c>
      <c r="O66" s="11" t="str">
        <f>Cek_E!L11</f>
        <v/>
      </c>
      <c r="P66" s="11" t="str">
        <f>Cek_E!M11</f>
        <v/>
      </c>
      <c r="Q66" s="11" t="str">
        <f>Cek_E!N11</f>
        <v/>
      </c>
      <c r="R66" s="11" t="str">
        <f>Cek_E!O11</f>
        <v/>
      </c>
      <c r="S66" s="11" t="str">
        <f>Cek_E!P11</f>
        <v/>
      </c>
      <c r="T66" s="11" t="str">
        <f>Cek_E!Q11</f>
        <v/>
      </c>
      <c r="U66" s="11" t="str">
        <f>Cek_E!R11</f>
        <v/>
      </c>
      <c r="V66" s="11" t="str">
        <f>Cek_E!S11</f>
        <v/>
      </c>
      <c r="W66" s="11" t="str">
        <f>Cek_E!T11</f>
        <v/>
      </c>
      <c r="X66" s="11" t="str">
        <f>Cek_E!U11</f>
        <v/>
      </c>
      <c r="Y66" s="11" t="str">
        <f>Cek_E!V11</f>
        <v/>
      </c>
      <c r="Z66" s="11" t="str">
        <f>Cek_E!W11</f>
        <v/>
      </c>
      <c r="AA66" s="11" t="str">
        <f>Cek_E!X11</f>
        <v/>
      </c>
      <c r="AB66" s="11" t="str">
        <f>Cek_E!Y11</f>
        <v/>
      </c>
    </row>
    <row r="67" spans="8:8">
      <c r="A67" s="7">
        <v>65.0</v>
      </c>
      <c r="B67" s="7" t="s">
        <v>1079</v>
      </c>
      <c r="C67" s="47" t="s">
        <v>1189</v>
      </c>
      <c r="D67" s="7" t="s">
        <v>235</v>
      </c>
      <c r="E67" s="48" t="s">
        <v>236</v>
      </c>
      <c r="F67" s="7">
        <v>6.6</v>
      </c>
      <c r="G67" s="9" t="str">
        <f>_xlfn.IFERROR(AVERAGE(H67:AB67)+ROW()*0.0000001,"")</f>
        <v/>
      </c>
      <c r="H67" s="11" t="str">
        <f>Cek_E!E17</f>
        <v/>
      </c>
      <c r="I67" s="11" t="str">
        <f>Cek_E!F17</f>
        <v/>
      </c>
      <c r="J67" s="11" t="str">
        <f>Cek_E!G17</f>
        <v/>
      </c>
      <c r="K67" s="11" t="str">
        <f>Cek_E!H17</f>
        <v/>
      </c>
      <c r="L67" s="11" t="str">
        <f>Cek_E!I17</f>
        <v/>
      </c>
      <c r="M67" s="11" t="str">
        <f>Cek_E!J17</f>
        <v/>
      </c>
      <c r="N67" s="11" t="str">
        <f>Cek_E!K17</f>
        <v/>
      </c>
      <c r="O67" s="11" t="str">
        <f>Cek_E!L17</f>
        <v/>
      </c>
      <c r="P67" s="11" t="str">
        <f>Cek_E!M17</f>
        <v/>
      </c>
      <c r="Q67" s="11" t="str">
        <f>Cek_E!N17</f>
        <v/>
      </c>
      <c r="R67" s="11" t="str">
        <f>Cek_E!O17</f>
        <v/>
      </c>
      <c r="S67" s="11" t="str">
        <f>Cek_E!P17</f>
        <v/>
      </c>
      <c r="T67" s="11" t="str">
        <f>Cek_E!Q17</f>
        <v/>
      </c>
      <c r="U67" s="11" t="str">
        <f>Cek_E!R17</f>
        <v/>
      </c>
      <c r="V67" s="11" t="str">
        <f>Cek_E!S17</f>
        <v/>
      </c>
      <c r="W67" s="11" t="str">
        <f>Cek_E!T17</f>
        <v/>
      </c>
      <c r="X67" s="11" t="str">
        <f>Cek_E!U17</f>
        <v/>
      </c>
      <c r="Y67" s="11" t="str">
        <f>Cek_E!V17</f>
        <v/>
      </c>
      <c r="Z67" s="11" t="str">
        <f>Cek_E!W17</f>
        <v/>
      </c>
      <c r="AA67" s="11" t="str">
        <f>Cek_E!X17</f>
        <v/>
      </c>
      <c r="AB67" s="11" t="str">
        <f>Cek_E!Y17</f>
        <v/>
      </c>
    </row>
    <row r="68" spans="8:8">
      <c r="A68" s="7">
        <v>66.0</v>
      </c>
      <c r="B68" s="7" t="s">
        <v>1079</v>
      </c>
      <c r="C68" s="47" t="s">
        <v>1190</v>
      </c>
      <c r="D68" s="7" t="s">
        <v>249</v>
      </c>
      <c r="E68" s="48" t="s">
        <v>250</v>
      </c>
      <c r="F68" s="7">
        <v>6.7</v>
      </c>
      <c r="G68" s="9" t="str">
        <f>_xlfn.IFERROR(AVERAGE(H68:AB68)+ROW()*0.0000001,"")</f>
        <v/>
      </c>
      <c r="H68" s="11" t="str">
        <f>Cek_E!E25</f>
        <v/>
      </c>
      <c r="I68" s="11" t="str">
        <f>Cek_E!F25</f>
        <v/>
      </c>
      <c r="J68" s="11" t="str">
        <f>Cek_E!G25</f>
        <v/>
      </c>
      <c r="K68" s="11" t="str">
        <f>Cek_E!H25</f>
        <v/>
      </c>
      <c r="L68" s="11" t="str">
        <f>Cek_E!I25</f>
        <v/>
      </c>
      <c r="M68" s="11" t="str">
        <f>Cek_E!J25</f>
        <v/>
      </c>
      <c r="N68" s="11" t="str">
        <f>Cek_E!K25</f>
        <v/>
      </c>
      <c r="O68" s="11" t="str">
        <f>Cek_E!L25</f>
        <v/>
      </c>
      <c r="P68" s="11" t="str">
        <f>Cek_E!M25</f>
        <v/>
      </c>
      <c r="Q68" s="11" t="str">
        <f>Cek_E!N25</f>
        <v/>
      </c>
      <c r="R68" s="11" t="str">
        <f>Cek_E!O25</f>
        <v/>
      </c>
      <c r="S68" s="11" t="str">
        <f>Cek_E!P25</f>
        <v/>
      </c>
      <c r="T68" s="11" t="str">
        <f>Cek_E!Q25</f>
        <v/>
      </c>
      <c r="U68" s="11" t="str">
        <f>Cek_E!R25</f>
        <v/>
      </c>
      <c r="V68" s="11" t="str">
        <f>Cek_E!S25</f>
        <v/>
      </c>
      <c r="W68" s="11" t="str">
        <f>Cek_E!T25</f>
        <v/>
      </c>
      <c r="X68" s="11" t="str">
        <f>Cek_E!U25</f>
        <v/>
      </c>
      <c r="Y68" s="11" t="str">
        <f>Cek_E!V25</f>
        <v/>
      </c>
      <c r="Z68" s="11" t="str">
        <f>Cek_E!W25</f>
        <v/>
      </c>
      <c r="AA68" s="11" t="str">
        <f>Cek_E!X25</f>
        <v/>
      </c>
      <c r="AB68" s="11" t="str">
        <f>Cek_E!Y25</f>
        <v/>
      </c>
    </row>
    <row r="69" spans="8:8">
      <c r="A69" s="7">
        <v>67.0</v>
      </c>
      <c r="B69" s="7" t="s">
        <v>1079</v>
      </c>
      <c r="C69" s="47" t="s">
        <v>1190</v>
      </c>
      <c r="D69" s="7" t="s">
        <v>261</v>
      </c>
      <c r="E69" s="48" t="s">
        <v>262</v>
      </c>
      <c r="F69" s="7">
        <v>6.7</v>
      </c>
      <c r="G69" s="9" t="str">
        <f>_xlfn.IFERROR(AVERAGE(H69:AB69)+ROW()*0.0000001,"")</f>
        <v/>
      </c>
      <c r="H69" s="11" t="str">
        <f>Cek_E!E31</f>
        <v/>
      </c>
      <c r="I69" s="11" t="str">
        <f>Cek_E!F31</f>
        <v/>
      </c>
      <c r="J69" s="11" t="str">
        <f>Cek_E!G31</f>
        <v/>
      </c>
      <c r="K69" s="11" t="str">
        <f>Cek_E!H31</f>
        <v/>
      </c>
      <c r="L69" s="11" t="str">
        <f>Cek_E!I31</f>
        <v/>
      </c>
      <c r="M69" s="11" t="str">
        <f>Cek_E!J31</f>
        <v/>
      </c>
      <c r="N69" s="11" t="str">
        <f>Cek_E!K31</f>
        <v/>
      </c>
      <c r="O69" s="11" t="str">
        <f>Cek_E!L31</f>
        <v/>
      </c>
      <c r="P69" s="11" t="str">
        <f>Cek_E!M31</f>
        <v/>
      </c>
      <c r="Q69" s="11" t="str">
        <f>Cek_E!N31</f>
        <v/>
      </c>
      <c r="R69" s="11" t="str">
        <f>Cek_E!O31</f>
        <v/>
      </c>
      <c r="S69" s="11" t="str">
        <f>Cek_E!P31</f>
        <v/>
      </c>
      <c r="T69" s="11" t="str">
        <f>Cek_E!Q31</f>
        <v/>
      </c>
      <c r="U69" s="11" t="str">
        <f>Cek_E!R31</f>
        <v/>
      </c>
      <c r="V69" s="11" t="str">
        <f>Cek_E!S31</f>
        <v/>
      </c>
      <c r="W69" s="11" t="str">
        <f>Cek_E!T31</f>
        <v/>
      </c>
      <c r="X69" s="11" t="str">
        <f>Cek_E!U31</f>
        <v/>
      </c>
      <c r="Y69" s="11" t="str">
        <f>Cek_E!V31</f>
        <v/>
      </c>
      <c r="Z69" s="11" t="str">
        <f>Cek_E!W31</f>
        <v/>
      </c>
      <c r="AA69" s="11" t="str">
        <f>Cek_E!X31</f>
        <v/>
      </c>
      <c r="AB69" s="11" t="str">
        <f>Cek_E!Y31</f>
        <v/>
      </c>
    </row>
    <row r="70" spans="8:8">
      <c r="A70" s="7">
        <v>68.0</v>
      </c>
      <c r="B70" s="7" t="s">
        <v>1079</v>
      </c>
      <c r="C70" s="47" t="s">
        <v>1190</v>
      </c>
      <c r="D70" s="7" t="s">
        <v>273</v>
      </c>
      <c r="E70" s="48" t="s">
        <v>274</v>
      </c>
      <c r="F70" s="7">
        <v>6.6</v>
      </c>
      <c r="G70" s="9" t="str">
        <f>_xlfn.IFERROR(AVERAGE(H70:AB70)+ROW()*0.0000001,"")</f>
        <v/>
      </c>
      <c r="H70" s="11" t="str">
        <f>Cek_E!E37</f>
        <v/>
      </c>
      <c r="I70" s="11" t="str">
        <f>Cek_E!F37</f>
        <v/>
      </c>
      <c r="J70" s="11" t="str">
        <f>Cek_E!G37</f>
        <v/>
      </c>
      <c r="K70" s="11" t="str">
        <f>Cek_E!H37</f>
        <v/>
      </c>
      <c r="L70" s="11" t="str">
        <f>Cek_E!I37</f>
        <v/>
      </c>
      <c r="M70" s="11" t="str">
        <f>Cek_E!J37</f>
        <v/>
      </c>
      <c r="N70" s="11" t="str">
        <f>Cek_E!K37</f>
        <v/>
      </c>
      <c r="O70" s="11" t="str">
        <f>Cek_E!L37</f>
        <v/>
      </c>
      <c r="P70" s="11" t="str">
        <f>Cek_E!M37</f>
        <v/>
      </c>
      <c r="Q70" s="11" t="str">
        <f>Cek_E!N37</f>
        <v/>
      </c>
      <c r="R70" s="11" t="str">
        <f>Cek_E!O37</f>
        <v/>
      </c>
      <c r="S70" s="11" t="str">
        <f>Cek_E!P37</f>
        <v/>
      </c>
      <c r="T70" s="11" t="str">
        <f>Cek_E!Q37</f>
        <v/>
      </c>
      <c r="U70" s="11" t="str">
        <f>Cek_E!R37</f>
        <v/>
      </c>
      <c r="V70" s="11" t="str">
        <f>Cek_E!S37</f>
        <v/>
      </c>
      <c r="W70" s="11" t="str">
        <f>Cek_E!T37</f>
        <v/>
      </c>
      <c r="X70" s="11" t="str">
        <f>Cek_E!U37</f>
        <v/>
      </c>
      <c r="Y70" s="11" t="str">
        <f>Cek_E!V37</f>
        <v/>
      </c>
      <c r="Z70" s="11" t="str">
        <f>Cek_E!W37</f>
        <v/>
      </c>
      <c r="AA70" s="11" t="str">
        <f>Cek_E!X37</f>
        <v/>
      </c>
      <c r="AB70" s="11" t="str">
        <f>Cek_E!Y37</f>
        <v/>
      </c>
    </row>
    <row r="71" spans="8:8">
      <c r="A71" s="7">
        <v>69.0</v>
      </c>
      <c r="B71" s="7" t="s">
        <v>1079</v>
      </c>
      <c r="C71" s="47" t="s">
        <v>1191</v>
      </c>
      <c r="D71" s="7" t="s">
        <v>287</v>
      </c>
      <c r="E71" s="48" t="s">
        <v>288</v>
      </c>
      <c r="F71" s="7">
        <v>6.7</v>
      </c>
      <c r="G71" s="9" t="str">
        <f>_xlfn.IFERROR(AVERAGE(H71:AB71)+ROW()*0.0000001,"")</f>
        <v/>
      </c>
      <c r="H71" s="11" t="str">
        <f>Cek_E!E45</f>
        <v/>
      </c>
      <c r="I71" s="11" t="str">
        <f>Cek_E!F45</f>
        <v/>
      </c>
      <c r="J71" s="11" t="str">
        <f>Cek_E!G45</f>
        <v/>
      </c>
      <c r="K71" s="11" t="str">
        <f>Cek_E!H45</f>
        <v/>
      </c>
      <c r="L71" s="11" t="str">
        <f>Cek_E!I45</f>
        <v/>
      </c>
      <c r="M71" s="11" t="str">
        <f>Cek_E!J45</f>
        <v/>
      </c>
      <c r="N71" s="11" t="str">
        <f>Cek_E!K45</f>
        <v/>
      </c>
      <c r="O71" s="11" t="str">
        <f>Cek_E!L45</f>
        <v/>
      </c>
      <c r="P71" s="11" t="str">
        <f>Cek_E!M45</f>
        <v/>
      </c>
      <c r="Q71" s="11" t="str">
        <f>Cek_E!N45</f>
        <v/>
      </c>
      <c r="R71" s="11" t="str">
        <f>Cek_E!O45</f>
        <v/>
      </c>
      <c r="S71" s="11" t="str">
        <f>Cek_E!P45</f>
        <v/>
      </c>
      <c r="T71" s="11" t="str">
        <f>Cek_E!Q45</f>
        <v/>
      </c>
      <c r="U71" s="11" t="str">
        <f>Cek_E!R45</f>
        <v/>
      </c>
      <c r="V71" s="11" t="str">
        <f>Cek_E!S45</f>
        <v/>
      </c>
      <c r="W71" s="11" t="str">
        <f>Cek_E!T45</f>
        <v/>
      </c>
      <c r="X71" s="11" t="str">
        <f>Cek_E!U45</f>
        <v/>
      </c>
      <c r="Y71" s="11" t="str">
        <f>Cek_E!V45</f>
        <v/>
      </c>
      <c r="Z71" s="11" t="str">
        <f>Cek_E!W45</f>
        <v/>
      </c>
      <c r="AA71" s="11" t="str">
        <f>Cek_E!X45</f>
        <v/>
      </c>
      <c r="AB71" s="11" t="str">
        <f>Cek_E!Y45</f>
        <v/>
      </c>
    </row>
    <row r="72" spans="8:8">
      <c r="A72" s="7">
        <v>70.0</v>
      </c>
      <c r="B72" s="7" t="s">
        <v>1079</v>
      </c>
      <c r="C72" s="47" t="s">
        <v>1191</v>
      </c>
      <c r="D72" s="7" t="s">
        <v>299</v>
      </c>
      <c r="E72" s="48" t="s">
        <v>300</v>
      </c>
      <c r="F72" s="7">
        <v>6.7</v>
      </c>
      <c r="G72" s="9" t="str">
        <f>_xlfn.IFERROR(AVERAGE(H72:AB72)+ROW()*0.0000001,"")</f>
        <v/>
      </c>
      <c r="H72" s="11" t="str">
        <f>Cek_E!E51</f>
        <v/>
      </c>
      <c r="I72" s="11" t="str">
        <f>Cek_E!F51</f>
        <v/>
      </c>
      <c r="J72" s="11" t="str">
        <f>Cek_E!G51</f>
        <v/>
      </c>
      <c r="K72" s="11" t="str">
        <f>Cek_E!H51</f>
        <v/>
      </c>
      <c r="L72" s="11" t="str">
        <f>Cek_E!I51</f>
        <v/>
      </c>
      <c r="M72" s="11" t="str">
        <f>Cek_E!J51</f>
        <v/>
      </c>
      <c r="N72" s="11" t="str">
        <f>Cek_E!K51</f>
        <v/>
      </c>
      <c r="O72" s="11" t="str">
        <f>Cek_E!L51</f>
        <v/>
      </c>
      <c r="P72" s="11" t="str">
        <f>Cek_E!M51</f>
        <v/>
      </c>
      <c r="Q72" s="11" t="str">
        <f>Cek_E!N51</f>
        <v/>
      </c>
      <c r="R72" s="11" t="str">
        <f>Cek_E!O51</f>
        <v/>
      </c>
      <c r="S72" s="11" t="str">
        <f>Cek_E!P51</f>
        <v/>
      </c>
      <c r="T72" s="11" t="str">
        <f>Cek_E!Q51</f>
        <v/>
      </c>
      <c r="U72" s="11" t="str">
        <f>Cek_E!R51</f>
        <v/>
      </c>
      <c r="V72" s="11" t="str">
        <f>Cek_E!S51</f>
        <v/>
      </c>
      <c r="W72" s="11" t="str">
        <f>Cek_E!T51</f>
        <v/>
      </c>
      <c r="X72" s="11" t="str">
        <f>Cek_E!U51</f>
        <v/>
      </c>
      <c r="Y72" s="11" t="str">
        <f>Cek_E!V51</f>
        <v/>
      </c>
      <c r="Z72" s="11" t="str">
        <f>Cek_E!W51</f>
        <v/>
      </c>
      <c r="AA72" s="11" t="str">
        <f>Cek_E!X51</f>
        <v/>
      </c>
      <c r="AB72" s="11" t="str">
        <f>Cek_E!Y51</f>
        <v/>
      </c>
    </row>
    <row r="73" spans="8:8">
      <c r="A73" s="7">
        <v>71.0</v>
      </c>
      <c r="B73" s="7" t="s">
        <v>1079</v>
      </c>
      <c r="C73" s="47" t="s">
        <v>1191</v>
      </c>
      <c r="D73" s="7" t="s">
        <v>311</v>
      </c>
      <c r="E73" s="48" t="s">
        <v>312</v>
      </c>
      <c r="F73" s="7">
        <v>6.6</v>
      </c>
      <c r="G73" s="9" t="str">
        <f>_xlfn.IFERROR(AVERAGE(H73:AB73)+ROW()*0.0000001,"")</f>
        <v/>
      </c>
      <c r="H73" s="11" t="str">
        <f>Cek_E!E57</f>
        <v/>
      </c>
      <c r="I73" s="11" t="str">
        <f>Cek_E!F57</f>
        <v/>
      </c>
      <c r="J73" s="11" t="str">
        <f>Cek_E!G57</f>
        <v/>
      </c>
      <c r="K73" s="11" t="str">
        <f>Cek_E!H57</f>
        <v/>
      </c>
      <c r="L73" s="11" t="str">
        <f>Cek_E!I57</f>
        <v/>
      </c>
      <c r="M73" s="11" t="str">
        <f>Cek_E!J57</f>
        <v/>
      </c>
      <c r="N73" s="11" t="str">
        <f>Cek_E!K57</f>
        <v/>
      </c>
      <c r="O73" s="11" t="str">
        <f>Cek_E!L57</f>
        <v/>
      </c>
      <c r="P73" s="11" t="str">
        <f>Cek_E!M57</f>
        <v/>
      </c>
      <c r="Q73" s="11" t="str">
        <f>Cek_E!N57</f>
        <v/>
      </c>
      <c r="R73" s="11" t="str">
        <f>Cek_E!O57</f>
        <v/>
      </c>
      <c r="S73" s="11" t="str">
        <f>Cek_E!P57</f>
        <v/>
      </c>
      <c r="T73" s="11" t="str">
        <f>Cek_E!Q57</f>
        <v/>
      </c>
      <c r="U73" s="11" t="str">
        <f>Cek_E!R57</f>
        <v/>
      </c>
      <c r="V73" s="11" t="str">
        <f>Cek_E!S57</f>
        <v/>
      </c>
      <c r="W73" s="11" t="str">
        <f>Cek_E!T57</f>
        <v/>
      </c>
      <c r="X73" s="11" t="str">
        <f>Cek_E!U57</f>
        <v/>
      </c>
      <c r="Y73" s="11" t="str">
        <f>Cek_E!V57</f>
        <v/>
      </c>
      <c r="Z73" s="11" t="str">
        <f>Cek_E!W57</f>
        <v/>
      </c>
      <c r="AA73" s="11" t="str">
        <f>Cek_E!X57</f>
        <v/>
      </c>
      <c r="AB73" s="11" t="str">
        <f>Cek_E!Y57</f>
        <v/>
      </c>
    </row>
    <row r="74" spans="8:8">
      <c r="A74" s="7">
        <v>72.0</v>
      </c>
      <c r="B74" s="7" t="s">
        <v>1079</v>
      </c>
      <c r="C74" s="47" t="s">
        <v>1192</v>
      </c>
      <c r="D74" s="7" t="s">
        <v>325</v>
      </c>
      <c r="E74" s="48" t="s">
        <v>326</v>
      </c>
      <c r="F74" s="7">
        <v>5.0</v>
      </c>
      <c r="G74" s="9" t="str">
        <f>_xlfn.IFERROR(AVERAGE(H74:AB74)+ROW()*0.0000001,"")</f>
        <v/>
      </c>
      <c r="H74" s="11" t="str">
        <f>Cek_E!E65</f>
        <v/>
      </c>
      <c r="I74" s="11" t="str">
        <f>Cek_E!F65</f>
        <v/>
      </c>
      <c r="J74" s="11" t="str">
        <f>Cek_E!G65</f>
        <v/>
      </c>
      <c r="K74" s="11" t="str">
        <f>Cek_E!H65</f>
        <v/>
      </c>
      <c r="L74" s="11" t="str">
        <f>Cek_E!I65</f>
        <v/>
      </c>
      <c r="M74" s="11" t="str">
        <f>Cek_E!J65</f>
        <v/>
      </c>
      <c r="N74" s="11" t="str">
        <f>Cek_E!K65</f>
        <v/>
      </c>
      <c r="O74" s="11" t="str">
        <f>Cek_E!L65</f>
        <v/>
      </c>
      <c r="P74" s="11" t="str">
        <f>Cek_E!M65</f>
        <v/>
      </c>
      <c r="Q74" s="11" t="str">
        <f>Cek_E!N65</f>
        <v/>
      </c>
      <c r="R74" s="11" t="str">
        <f>Cek_E!O65</f>
        <v/>
      </c>
      <c r="S74" s="11" t="str">
        <f>Cek_E!P65</f>
        <v/>
      </c>
      <c r="T74" s="11" t="str">
        <f>Cek_E!Q65</f>
        <v/>
      </c>
      <c r="U74" s="11" t="str">
        <f>Cek_E!R65</f>
        <v/>
      </c>
      <c r="V74" s="11" t="str">
        <f>Cek_E!S65</f>
        <v/>
      </c>
      <c r="W74" s="11" t="str">
        <f>Cek_E!T65</f>
        <v/>
      </c>
      <c r="X74" s="11" t="str">
        <f>Cek_E!U65</f>
        <v/>
      </c>
      <c r="Y74" s="11" t="str">
        <f>Cek_E!V65</f>
        <v/>
      </c>
      <c r="Z74" s="11" t="str">
        <f>Cek_E!W65</f>
        <v/>
      </c>
      <c r="AA74" s="11" t="str">
        <f>Cek_E!X65</f>
        <v/>
      </c>
      <c r="AB74" s="11" t="str">
        <f>Cek_E!Y65</f>
        <v/>
      </c>
    </row>
    <row r="75" spans="8:8">
      <c r="A75" s="7">
        <v>73.0</v>
      </c>
      <c r="B75" s="7" t="s">
        <v>1079</v>
      </c>
      <c r="C75" s="47" t="s">
        <v>1192</v>
      </c>
      <c r="D75" s="7" t="s">
        <v>337</v>
      </c>
      <c r="E75" s="48" t="s">
        <v>338</v>
      </c>
      <c r="F75" s="7">
        <v>5.0</v>
      </c>
      <c r="G75" s="9" t="str">
        <f>_xlfn.IFERROR(AVERAGE(H75:AB75)+ROW()*0.0000001,"")</f>
        <v/>
      </c>
      <c r="H75" s="11" t="str">
        <f>Cek_E!E71</f>
        <v/>
      </c>
      <c r="I75" s="11" t="str">
        <f>Cek_E!F71</f>
        <v/>
      </c>
      <c r="J75" s="11" t="str">
        <f>Cek_E!G71</f>
        <v/>
      </c>
      <c r="K75" s="11" t="str">
        <f>Cek_E!H71</f>
        <v/>
      </c>
      <c r="L75" s="11" t="str">
        <f>Cek_E!I71</f>
        <v/>
      </c>
      <c r="M75" s="11" t="str">
        <f>Cek_E!J71</f>
        <v/>
      </c>
      <c r="N75" s="11" t="str">
        <f>Cek_E!K71</f>
        <v/>
      </c>
      <c r="O75" s="11" t="str">
        <f>Cek_E!L71</f>
        <v/>
      </c>
      <c r="P75" s="11" t="str">
        <f>Cek_E!M71</f>
        <v/>
      </c>
      <c r="Q75" s="11" t="str">
        <f>Cek_E!N71</f>
        <v/>
      </c>
      <c r="R75" s="11" t="str">
        <f>Cek_E!O71</f>
        <v/>
      </c>
      <c r="S75" s="11" t="str">
        <f>Cek_E!P71</f>
        <v/>
      </c>
      <c r="T75" s="11" t="str">
        <f>Cek_E!Q71</f>
        <v/>
      </c>
      <c r="U75" s="11" t="str">
        <f>Cek_E!R71</f>
        <v/>
      </c>
      <c r="V75" s="11" t="str">
        <f>Cek_E!S71</f>
        <v/>
      </c>
      <c r="W75" s="11" t="str">
        <f>Cek_E!T71</f>
        <v/>
      </c>
      <c r="X75" s="11" t="str">
        <f>Cek_E!U71</f>
        <v/>
      </c>
      <c r="Y75" s="11" t="str">
        <f>Cek_E!V71</f>
        <v/>
      </c>
      <c r="Z75" s="11" t="str">
        <f>Cek_E!W71</f>
        <v/>
      </c>
      <c r="AA75" s="11" t="str">
        <f>Cek_E!X71</f>
        <v/>
      </c>
      <c r="AB75" s="11" t="str">
        <f>Cek_E!Y71</f>
        <v/>
      </c>
    </row>
    <row r="76" spans="8:8">
      <c r="A76" s="7">
        <v>74.0</v>
      </c>
      <c r="B76" s="7" t="s">
        <v>1079</v>
      </c>
      <c r="C76" s="47" t="s">
        <v>1192</v>
      </c>
      <c r="D76" s="7" t="s">
        <v>347</v>
      </c>
      <c r="E76" s="48" t="s">
        <v>348</v>
      </c>
      <c r="F76" s="7">
        <v>5.0</v>
      </c>
      <c r="G76" s="9" t="str">
        <f>_xlfn.IFERROR(AVERAGE(H76:AB76)+ROW()*0.0000001,"")</f>
        <v/>
      </c>
      <c r="H76" s="11" t="str">
        <f>Cek_E!E77</f>
        <v/>
      </c>
      <c r="I76" s="11" t="str">
        <f>Cek_E!F77</f>
        <v/>
      </c>
      <c r="J76" s="11" t="str">
        <f>Cek_E!G77</f>
        <v/>
      </c>
      <c r="K76" s="11" t="str">
        <f>Cek_E!H77</f>
        <v/>
      </c>
      <c r="L76" s="11" t="str">
        <f>Cek_E!I77</f>
        <v/>
      </c>
      <c r="M76" s="11" t="str">
        <f>Cek_E!J77</f>
        <v/>
      </c>
      <c r="N76" s="11" t="str">
        <f>Cek_E!K77</f>
        <v/>
      </c>
      <c r="O76" s="11" t="str">
        <f>Cek_E!L77</f>
        <v/>
      </c>
      <c r="P76" s="11" t="str">
        <f>Cek_E!M77</f>
        <v/>
      </c>
      <c r="Q76" s="11" t="str">
        <f>Cek_E!N77</f>
        <v/>
      </c>
      <c r="R76" s="11" t="str">
        <f>Cek_E!O77</f>
        <v/>
      </c>
      <c r="S76" s="11" t="str">
        <f>Cek_E!P77</f>
        <v/>
      </c>
      <c r="T76" s="11" t="str">
        <f>Cek_E!Q77</f>
        <v/>
      </c>
      <c r="U76" s="11" t="str">
        <f>Cek_E!R77</f>
        <v/>
      </c>
      <c r="V76" s="11" t="str">
        <f>Cek_E!S77</f>
        <v/>
      </c>
      <c r="W76" s="11" t="str">
        <f>Cek_E!T77</f>
        <v/>
      </c>
      <c r="X76" s="11" t="str">
        <f>Cek_E!U77</f>
        <v/>
      </c>
      <c r="Y76" s="11" t="str">
        <f>Cek_E!V77</f>
        <v/>
      </c>
      <c r="Z76" s="11" t="str">
        <f>Cek_E!W77</f>
        <v/>
      </c>
      <c r="AA76" s="11" t="str">
        <f>Cek_E!X77</f>
        <v/>
      </c>
      <c r="AB76" s="11" t="str">
        <f>Cek_E!Y77</f>
        <v/>
      </c>
    </row>
    <row r="77" spans="8:8">
      <c r="A77" s="7">
        <v>75.0</v>
      </c>
      <c r="B77" s="7" t="s">
        <v>1079</v>
      </c>
      <c r="C77" s="47" t="s">
        <v>1192</v>
      </c>
      <c r="D77" s="7" t="s">
        <v>359</v>
      </c>
      <c r="E77" s="48" t="s">
        <v>360</v>
      </c>
      <c r="F77" s="7">
        <v>5.0</v>
      </c>
      <c r="G77" s="9" t="str">
        <f>_xlfn.IFERROR(AVERAGE(H77:AB77)+ROW()*0.0000001,"")</f>
        <v/>
      </c>
      <c r="H77" s="11" t="str">
        <f>Cek_E!E83</f>
        <v/>
      </c>
      <c r="I77" s="11" t="str">
        <f>Cek_E!F83</f>
        <v/>
      </c>
      <c r="J77" s="11" t="str">
        <f>Cek_E!G83</f>
        <v/>
      </c>
      <c r="K77" s="11" t="str">
        <f>Cek_E!H83</f>
        <v/>
      </c>
      <c r="L77" s="11" t="str">
        <f>Cek_E!I83</f>
        <v/>
      </c>
      <c r="M77" s="11" t="str">
        <f>Cek_E!J83</f>
        <v/>
      </c>
      <c r="N77" s="11" t="str">
        <f>Cek_E!K83</f>
        <v/>
      </c>
      <c r="O77" s="11" t="str">
        <f>Cek_E!L83</f>
        <v/>
      </c>
      <c r="P77" s="11" t="str">
        <f>Cek_E!M83</f>
        <v/>
      </c>
      <c r="Q77" s="11" t="str">
        <f>Cek_E!N83</f>
        <v/>
      </c>
      <c r="R77" s="11" t="str">
        <f>Cek_E!O83</f>
        <v/>
      </c>
      <c r="S77" s="11" t="str">
        <f>Cek_E!P83</f>
        <v/>
      </c>
      <c r="T77" s="11" t="str">
        <f>Cek_E!Q83</f>
        <v/>
      </c>
      <c r="U77" s="11" t="str">
        <f>Cek_E!R83</f>
        <v/>
      </c>
      <c r="V77" s="11" t="str">
        <f>Cek_E!S83</f>
        <v/>
      </c>
      <c r="W77" s="11" t="str">
        <f>Cek_E!T83</f>
        <v/>
      </c>
      <c r="X77" s="11" t="str">
        <f>Cek_E!U83</f>
        <v/>
      </c>
      <c r="Y77" s="11" t="str">
        <f>Cek_E!V83</f>
        <v/>
      </c>
      <c r="Z77" s="11" t="str">
        <f>Cek_E!W83</f>
        <v/>
      </c>
      <c r="AA77" s="11" t="str">
        <f>Cek_E!X83</f>
        <v/>
      </c>
      <c r="AB77" s="11" t="str">
        <f>Cek_E!Y83</f>
        <v/>
      </c>
    </row>
    <row r="78" spans="8:8">
      <c r="A78" s="7">
        <v>76.0</v>
      </c>
      <c r="B78" s="7" t="s">
        <v>1079</v>
      </c>
      <c r="C78" s="47" t="s">
        <v>1193</v>
      </c>
      <c r="D78" s="7" t="s">
        <v>373</v>
      </c>
      <c r="E78" s="48" t="s">
        <v>374</v>
      </c>
      <c r="F78" s="7">
        <v>10.0</v>
      </c>
      <c r="G78" s="9" t="str">
        <f>_xlfn.IFERROR(AVERAGE(H78:AB78)+ROW()*0.0000001,"")</f>
        <v/>
      </c>
      <c r="H78" s="11" t="str">
        <f>Cek_E!E91</f>
        <v/>
      </c>
      <c r="I78" s="11" t="str">
        <f>Cek_E!F91</f>
        <v/>
      </c>
      <c r="J78" s="11" t="str">
        <f>Cek_E!G91</f>
        <v/>
      </c>
      <c r="K78" s="11" t="str">
        <f>Cek_E!H91</f>
        <v/>
      </c>
      <c r="L78" s="11" t="str">
        <f>Cek_E!I91</f>
        <v/>
      </c>
      <c r="M78" s="11" t="str">
        <f>Cek_E!J91</f>
        <v/>
      </c>
      <c r="N78" s="11" t="str">
        <f>Cek_E!K91</f>
        <v/>
      </c>
      <c r="O78" s="11" t="str">
        <f>Cek_E!L91</f>
        <v/>
      </c>
      <c r="P78" s="11" t="str">
        <f>Cek_E!M91</f>
        <v/>
      </c>
      <c r="Q78" s="11" t="str">
        <f>Cek_E!N91</f>
        <v/>
      </c>
      <c r="R78" s="11" t="str">
        <f>Cek_E!O91</f>
        <v/>
      </c>
      <c r="S78" s="11" t="str">
        <f>Cek_E!P91</f>
        <v/>
      </c>
      <c r="T78" s="11" t="str">
        <f>Cek_E!Q91</f>
        <v/>
      </c>
      <c r="U78" s="11" t="str">
        <f>Cek_E!R91</f>
        <v/>
      </c>
      <c r="V78" s="11" t="str">
        <f>Cek_E!S91</f>
        <v/>
      </c>
      <c r="W78" s="11" t="str">
        <f>Cek_E!T91</f>
        <v/>
      </c>
      <c r="X78" s="11" t="str">
        <f>Cek_E!U91</f>
        <v/>
      </c>
      <c r="Y78" s="11" t="str">
        <f>Cek_E!V91</f>
        <v/>
      </c>
      <c r="Z78" s="11" t="str">
        <f>Cek_E!W91</f>
        <v/>
      </c>
      <c r="AA78" s="11" t="str">
        <f>Cek_E!X91</f>
        <v/>
      </c>
      <c r="AB78" s="11" t="str">
        <f>Cek_E!Y91</f>
        <v/>
      </c>
    </row>
    <row r="79" spans="8:8">
      <c r="A79" s="7">
        <v>77.0</v>
      </c>
      <c r="B79" s="7" t="s">
        <v>1079</v>
      </c>
      <c r="C79" s="47" t="s">
        <v>1193</v>
      </c>
      <c r="D79" s="7" t="s">
        <v>385</v>
      </c>
      <c r="E79" s="48" t="s">
        <v>386</v>
      </c>
      <c r="F79" s="7">
        <v>10.0</v>
      </c>
      <c r="G79" s="9" t="str">
        <f>_xlfn.IFERROR(AVERAGE(H79:AB79)+ROW()*0.0000001,"")</f>
        <v/>
      </c>
      <c r="H79" s="11" t="str">
        <f>Cek_E!E97</f>
        <v/>
      </c>
      <c r="I79" s="11" t="str">
        <f>Cek_E!F97</f>
        <v/>
      </c>
      <c r="J79" s="11" t="str">
        <f>Cek_E!G97</f>
        <v/>
      </c>
      <c r="K79" s="11" t="str">
        <f>Cek_E!H97</f>
        <v/>
      </c>
      <c r="L79" s="11" t="str">
        <f>Cek_E!I97</f>
        <v/>
      </c>
      <c r="M79" s="11" t="str">
        <f>Cek_E!J97</f>
        <v/>
      </c>
      <c r="N79" s="11" t="str">
        <f>Cek_E!K97</f>
        <v/>
      </c>
      <c r="O79" s="11" t="str">
        <f>Cek_E!L97</f>
        <v/>
      </c>
      <c r="P79" s="11" t="str">
        <f>Cek_E!M97</f>
        <v/>
      </c>
      <c r="Q79" s="11" t="str">
        <f>Cek_E!N97</f>
        <v/>
      </c>
      <c r="R79" s="11" t="str">
        <f>Cek_E!O97</f>
        <v/>
      </c>
      <c r="S79" s="11" t="str">
        <f>Cek_E!P97</f>
        <v/>
      </c>
      <c r="T79" s="11" t="str">
        <f>Cek_E!Q97</f>
        <v/>
      </c>
      <c r="U79" s="11" t="str">
        <f>Cek_E!R97</f>
        <v/>
      </c>
      <c r="V79" s="11" t="str">
        <f>Cek_E!S97</f>
        <v/>
      </c>
      <c r="W79" s="11" t="str">
        <f>Cek_E!T97</f>
        <v/>
      </c>
      <c r="X79" s="11" t="str">
        <f>Cek_E!U97</f>
        <v/>
      </c>
      <c r="Y79" s="11" t="str">
        <f>Cek_E!V97</f>
        <v/>
      </c>
      <c r="Z79" s="11" t="str">
        <f>Cek_E!W97</f>
        <v/>
      </c>
      <c r="AA79" s="11" t="str">
        <f>Cek_E!X97</f>
        <v/>
      </c>
      <c r="AB79" s="11" t="str">
        <f>Cek_E!Y97</f>
        <v/>
      </c>
    </row>
    <row r="80" spans="8:8">
      <c r="A80" s="7">
        <v>78.0</v>
      </c>
      <c r="B80" s="7" t="s">
        <v>1079</v>
      </c>
      <c r="C80" s="47" t="s">
        <v>1194</v>
      </c>
      <c r="D80" s="7" t="s">
        <v>399</v>
      </c>
      <c r="E80" s="48" t="s">
        <v>400</v>
      </c>
      <c r="F80" s="7">
        <v>20.0</v>
      </c>
      <c r="G80" s="9" t="str">
        <f>_xlfn.IFERROR(AVERAGE(H80:AB80)+ROW()*0.0000001,"")</f>
        <v/>
      </c>
      <c r="H80" s="11" t="str">
        <f>Cek_E!E105</f>
        <v/>
      </c>
      <c r="I80" s="11" t="str">
        <f>Cek_E!F105</f>
        <v/>
      </c>
      <c r="J80" s="11" t="str">
        <f>Cek_E!G105</f>
        <v/>
      </c>
      <c r="K80" s="11" t="str">
        <f>Cek_E!H105</f>
        <v/>
      </c>
      <c r="L80" s="11" t="str">
        <f>Cek_E!I105</f>
        <v/>
      </c>
      <c r="M80" s="11" t="str">
        <f>Cek_E!J105</f>
        <v/>
      </c>
      <c r="N80" s="11" t="str">
        <f>Cek_E!K105</f>
        <v/>
      </c>
      <c r="O80" s="11" t="str">
        <f>Cek_E!L105</f>
        <v/>
      </c>
      <c r="P80" s="11" t="str">
        <f>Cek_E!M105</f>
        <v/>
      </c>
      <c r="Q80" s="11" t="str">
        <f>Cek_E!N105</f>
        <v/>
      </c>
      <c r="R80" s="11" t="str">
        <f>Cek_E!O105</f>
        <v/>
      </c>
      <c r="S80" s="11" t="str">
        <f>Cek_E!P105</f>
        <v/>
      </c>
      <c r="T80" s="11" t="str">
        <f>Cek_E!Q105</f>
        <v/>
      </c>
      <c r="U80" s="11" t="str">
        <f>Cek_E!R105</f>
        <v/>
      </c>
      <c r="V80" s="11" t="str">
        <f>Cek_E!S105</f>
        <v/>
      </c>
      <c r="W80" s="11" t="str">
        <f>Cek_E!T105</f>
        <v/>
      </c>
      <c r="X80" s="11" t="str">
        <f>Cek_E!U105</f>
        <v/>
      </c>
      <c r="Y80" s="11" t="str">
        <f>Cek_E!V105</f>
        <v/>
      </c>
      <c r="Z80" s="11" t="str">
        <f>Cek_E!W105</f>
        <v/>
      </c>
      <c r="AA80" s="11" t="str">
        <f>Cek_E!X105</f>
        <v/>
      </c>
      <c r="AB80" s="11" t="str">
        <f>Cek_E!Y105</f>
        <v/>
      </c>
    </row>
    <row r="81" spans="8:8">
      <c r="A81" s="7">
        <v>79.0</v>
      </c>
      <c r="B81" s="7" t="s">
        <v>1079</v>
      </c>
      <c r="C81" s="47" t="s">
        <v>1194</v>
      </c>
      <c r="D81" s="7" t="s">
        <v>411</v>
      </c>
      <c r="E81" s="48" t="s">
        <v>412</v>
      </c>
      <c r="F81" s="7">
        <v>20.0</v>
      </c>
      <c r="G81" s="9" t="str">
        <f>_xlfn.IFERROR(AVERAGE(H81:AB81)+ROW()*0.0000001,"")</f>
        <v/>
      </c>
      <c r="H81" s="11" t="str">
        <f>Cek_E!E111</f>
        <v/>
      </c>
      <c r="I81" s="11" t="str">
        <f>Cek_E!F111</f>
        <v/>
      </c>
      <c r="J81" s="11" t="str">
        <f>Cek_E!G111</f>
        <v/>
      </c>
      <c r="K81" s="11" t="str">
        <f>Cek_E!H111</f>
        <v/>
      </c>
      <c r="L81" s="11" t="str">
        <f>Cek_E!I111</f>
        <v/>
      </c>
      <c r="M81" s="11" t="str">
        <f>Cek_E!J111</f>
        <v/>
      </c>
      <c r="N81" s="11" t="str">
        <f>Cek_E!K111</f>
        <v/>
      </c>
      <c r="O81" s="11" t="str">
        <f>Cek_E!L111</f>
        <v/>
      </c>
      <c r="P81" s="11" t="str">
        <f>Cek_E!M111</f>
        <v/>
      </c>
      <c r="Q81" s="11" t="str">
        <f>Cek_E!N111</f>
        <v/>
      </c>
      <c r="R81" s="11" t="str">
        <f>Cek_E!O111</f>
        <v/>
      </c>
      <c r="S81" s="11" t="str">
        <f>Cek_E!P111</f>
        <v/>
      </c>
      <c r="T81" s="11" t="str">
        <f>Cek_E!Q111</f>
        <v/>
      </c>
      <c r="U81" s="11" t="str">
        <f>Cek_E!R111</f>
        <v/>
      </c>
      <c r="V81" s="11" t="str">
        <f>Cek_E!S111</f>
        <v/>
      </c>
      <c r="W81" s="11" t="str">
        <f>Cek_E!T111</f>
        <v/>
      </c>
      <c r="X81" s="11" t="str">
        <f>Cek_E!U111</f>
        <v/>
      </c>
      <c r="Y81" s="11" t="str">
        <f>Cek_E!V111</f>
        <v/>
      </c>
      <c r="Z81" s="11" t="str">
        <f>Cek_E!W111</f>
        <v/>
      </c>
      <c r="AA81" s="11" t="str">
        <f>Cek_E!X111</f>
        <v/>
      </c>
      <c r="AB81" s="11" t="str">
        <f>Cek_E!Y111</f>
        <v/>
      </c>
    </row>
    <row r="82" spans="8:8">
      <c r="A82" s="7">
        <v>80.0</v>
      </c>
      <c r="B82" s="7" t="s">
        <v>1079</v>
      </c>
      <c r="C82" s="47" t="s">
        <v>1194</v>
      </c>
      <c r="D82" s="7" t="s">
        <v>423</v>
      </c>
      <c r="E82" s="48" t="s">
        <v>424</v>
      </c>
      <c r="F82" s="7">
        <v>20.0</v>
      </c>
      <c r="G82" s="9" t="str">
        <f>_xlfn.IFERROR(AVERAGE(H82:AB82)+ROW()*0.0000001,"")</f>
        <v/>
      </c>
      <c r="H82" s="11" t="str">
        <f>Cek_E!E117</f>
        <v/>
      </c>
      <c r="I82" s="11" t="str">
        <f>Cek_E!F117</f>
        <v/>
      </c>
      <c r="J82" s="11" t="str">
        <f>Cek_E!G117</f>
        <v/>
      </c>
      <c r="K82" s="11" t="str">
        <f>Cek_E!H117</f>
        <v/>
      </c>
      <c r="L82" s="11" t="str">
        <f>Cek_E!I117</f>
        <v/>
      </c>
      <c r="M82" s="11" t="str">
        <f>Cek_E!J117</f>
        <v/>
      </c>
      <c r="N82" s="11" t="str">
        <f>Cek_E!K117</f>
        <v/>
      </c>
      <c r="O82" s="11" t="str">
        <f>Cek_E!L117</f>
        <v/>
      </c>
      <c r="P82" s="11" t="str">
        <f>Cek_E!M117</f>
        <v/>
      </c>
      <c r="Q82" s="11" t="str">
        <f>Cek_E!N117</f>
        <v/>
      </c>
      <c r="R82" s="11" t="str">
        <f>Cek_E!O117</f>
        <v/>
      </c>
      <c r="S82" s="11" t="str">
        <f>Cek_E!P117</f>
        <v/>
      </c>
      <c r="T82" s="11" t="str">
        <f>Cek_E!Q117</f>
        <v/>
      </c>
      <c r="U82" s="11" t="str">
        <f>Cek_E!R117</f>
        <v/>
      </c>
      <c r="V82" s="11" t="str">
        <f>Cek_E!S117</f>
        <v/>
      </c>
      <c r="W82" s="11" t="str">
        <f>Cek_E!T117</f>
        <v/>
      </c>
      <c r="X82" s="11" t="str">
        <f>Cek_E!U117</f>
        <v/>
      </c>
      <c r="Y82" s="11" t="str">
        <f>Cek_E!V117</f>
        <v/>
      </c>
      <c r="Z82" s="11" t="str">
        <f>Cek_E!W117</f>
        <v/>
      </c>
      <c r="AA82" s="11" t="str">
        <f>Cek_E!X117</f>
        <v/>
      </c>
      <c r="AB82" s="11" t="str">
        <f>Cek_E!Y117</f>
        <v/>
      </c>
    </row>
    <row r="83" spans="8:8">
      <c r="A83" s="7">
        <v>81.0</v>
      </c>
      <c r="B83" s="7" t="s">
        <v>1079</v>
      </c>
      <c r="C83" s="47" t="s">
        <v>1194</v>
      </c>
      <c r="D83" s="7" t="s">
        <v>435</v>
      </c>
      <c r="E83" s="48" t="s">
        <v>436</v>
      </c>
      <c r="F83" s="7">
        <v>20.0</v>
      </c>
      <c r="G83" s="9" t="str">
        <f>_xlfn.IFERROR(AVERAGE(H83:AB83)+ROW()*0.0000001,"")</f>
        <v/>
      </c>
      <c r="H83" s="11" t="str">
        <f>Cek_E!E123</f>
        <v/>
      </c>
      <c r="I83" s="11" t="str">
        <f>Cek_E!F123</f>
        <v/>
      </c>
      <c r="J83" s="11" t="str">
        <f>Cek_E!G123</f>
        <v/>
      </c>
      <c r="K83" s="11" t="str">
        <f>Cek_E!H123</f>
        <v/>
      </c>
      <c r="L83" s="11" t="str">
        <f>Cek_E!I123</f>
        <v/>
      </c>
      <c r="M83" s="11" t="str">
        <f>Cek_E!J123</f>
        <v/>
      </c>
      <c r="N83" s="11" t="str">
        <f>Cek_E!K123</f>
        <v/>
      </c>
      <c r="O83" s="11" t="str">
        <f>Cek_E!L123</f>
        <v/>
      </c>
      <c r="P83" s="11" t="str">
        <f>Cek_E!M123</f>
        <v/>
      </c>
      <c r="Q83" s="11" t="str">
        <f>Cek_E!N123</f>
        <v/>
      </c>
      <c r="R83" s="11" t="str">
        <f>Cek_E!O123</f>
        <v/>
      </c>
      <c r="S83" s="11" t="str">
        <f>Cek_E!P123</f>
        <v/>
      </c>
      <c r="T83" s="11" t="str">
        <f>Cek_E!Q123</f>
        <v/>
      </c>
      <c r="U83" s="11" t="str">
        <f>Cek_E!R123</f>
        <v/>
      </c>
      <c r="V83" s="11" t="str">
        <f>Cek_E!S123</f>
        <v/>
      </c>
      <c r="W83" s="11" t="str">
        <f>Cek_E!T123</f>
        <v/>
      </c>
      <c r="X83" s="11" t="str">
        <f>Cek_E!U123</f>
        <v/>
      </c>
      <c r="Y83" s="11" t="str">
        <f>Cek_E!V123</f>
        <v/>
      </c>
      <c r="Z83" s="11" t="str">
        <f>Cek_E!W123</f>
        <v/>
      </c>
      <c r="AA83" s="11" t="str">
        <f>Cek_E!X123</f>
        <v/>
      </c>
      <c r="AB83" s="11" t="str">
        <f>Cek_E!Y123</f>
        <v/>
      </c>
    </row>
    <row r="84" spans="8:8">
      <c r="A84" s="7">
        <v>82.0</v>
      </c>
      <c r="B84" s="7" t="s">
        <v>1079</v>
      </c>
      <c r="C84" s="47" t="s">
        <v>1194</v>
      </c>
      <c r="D84" s="7" t="s">
        <v>447</v>
      </c>
      <c r="E84" s="48" t="s">
        <v>448</v>
      </c>
      <c r="F84" s="7">
        <v>20.0</v>
      </c>
      <c r="G84" s="9" t="str">
        <f>_xlfn.IFERROR(AVERAGE(H84:AB84)+ROW()*0.0000001,"")</f>
        <v/>
      </c>
      <c r="H84" s="11" t="str">
        <f>Cek_E!E129</f>
        <v/>
      </c>
      <c r="I84" s="11" t="str">
        <f>Cek_E!F129</f>
        <v/>
      </c>
      <c r="J84" s="11" t="str">
        <f>Cek_E!G129</f>
        <v/>
      </c>
      <c r="K84" s="11" t="str">
        <f>Cek_E!H129</f>
        <v/>
      </c>
      <c r="L84" s="11" t="str">
        <f>Cek_E!I129</f>
        <v/>
      </c>
      <c r="M84" s="11" t="str">
        <f>Cek_E!J129</f>
        <v/>
      </c>
      <c r="N84" s="11" t="str">
        <f>Cek_E!K129</f>
        <v/>
      </c>
      <c r="O84" s="11" t="str">
        <f>Cek_E!L129</f>
        <v/>
      </c>
      <c r="P84" s="11" t="str">
        <f>Cek_E!M129</f>
        <v/>
      </c>
      <c r="Q84" s="11" t="str">
        <f>Cek_E!N129</f>
        <v/>
      </c>
      <c r="R84" s="11" t="str">
        <f>Cek_E!O129</f>
        <v/>
      </c>
      <c r="S84" s="11" t="str">
        <f>Cek_E!P129</f>
        <v/>
      </c>
      <c r="T84" s="11" t="str">
        <f>Cek_E!Q129</f>
        <v/>
      </c>
      <c r="U84" s="11" t="str">
        <f>Cek_E!R129</f>
        <v/>
      </c>
      <c r="V84" s="11" t="str">
        <f>Cek_E!S129</f>
        <v/>
      </c>
      <c r="W84" s="11" t="str">
        <f>Cek_E!T129</f>
        <v/>
      </c>
      <c r="X84" s="11" t="str">
        <f>Cek_E!U129</f>
        <v/>
      </c>
      <c r="Y84" s="11" t="str">
        <f>Cek_E!V129</f>
        <v/>
      </c>
      <c r="Z84" s="11" t="str">
        <f>Cek_E!W129</f>
        <v/>
      </c>
      <c r="AA84" s="11" t="str">
        <f>Cek_E!X129</f>
        <v/>
      </c>
      <c r="AB84" s="11" t="str">
        <f>Cek_E!Y129</f>
        <v/>
      </c>
    </row>
    <row r="85" spans="8:8">
      <c r="A85" s="7">
        <v>83.0</v>
      </c>
      <c r="B85" s="7" t="s">
        <v>1086</v>
      </c>
      <c r="C85" s="47" t="s">
        <v>1195</v>
      </c>
      <c r="D85" s="7" t="s">
        <v>490</v>
      </c>
      <c r="E85" s="48" t="s">
        <v>491</v>
      </c>
      <c r="F85" s="7">
        <v>5.0</v>
      </c>
      <c r="G85" s="9" t="str">
        <f>_xlfn.IFERROR(AVERAGE(H85:AB85)+ROW()*0.0000001,"")</f>
        <v/>
      </c>
      <c r="H85" s="11" t="str">
        <f>Cek_F!E5</f>
        <v/>
      </c>
      <c r="I85" s="11" t="str">
        <f>Cek_F!F5</f>
        <v/>
      </c>
      <c r="J85" s="11" t="str">
        <f>Cek_F!G5</f>
        <v/>
      </c>
      <c r="K85" s="11" t="str">
        <f>Cek_F!H5</f>
        <v/>
      </c>
      <c r="L85" s="11" t="str">
        <f>Cek_F!I5</f>
        <v/>
      </c>
      <c r="M85" s="11" t="str">
        <f>Cek_F!J5</f>
        <v/>
      </c>
      <c r="N85" s="11" t="str">
        <f>Cek_F!K5</f>
        <v/>
      </c>
      <c r="O85" s="11" t="str">
        <f>Cek_F!L5</f>
        <v/>
      </c>
      <c r="P85" s="11" t="str">
        <f>Cek_F!M5</f>
        <v/>
      </c>
      <c r="Q85" s="11" t="str">
        <f>Cek_F!N5</f>
        <v/>
      </c>
      <c r="R85" s="11" t="str">
        <f>Cek_F!O5</f>
        <v/>
      </c>
      <c r="S85" s="11" t="str">
        <f>Cek_F!P5</f>
        <v/>
      </c>
      <c r="T85" s="11" t="str">
        <f>Cek_F!Q5</f>
        <v/>
      </c>
      <c r="U85" s="11" t="str">
        <f>Cek_F!R5</f>
        <v/>
      </c>
      <c r="V85" s="11" t="str">
        <f>Cek_F!S5</f>
        <v/>
      </c>
      <c r="W85" s="11" t="str">
        <f>Cek_F!T5</f>
        <v/>
      </c>
      <c r="X85" s="11" t="str">
        <f>Cek_F!U5</f>
        <v/>
      </c>
      <c r="Y85" s="11" t="str">
        <f>Cek_F!V5</f>
        <v/>
      </c>
      <c r="Z85" s="11" t="str">
        <f>Cek_F!W5</f>
        <v/>
      </c>
      <c r="AA85" s="11" t="str">
        <f>Cek_F!X5</f>
        <v/>
      </c>
      <c r="AB85" s="11" t="str">
        <f>Cek_F!Y5</f>
        <v/>
      </c>
    </row>
    <row r="86" spans="8:8">
      <c r="A86" s="7">
        <v>84.0</v>
      </c>
      <c r="B86" s="7" t="s">
        <v>1086</v>
      </c>
      <c r="C86" s="47" t="s">
        <v>1195</v>
      </c>
      <c r="D86" s="7" t="s">
        <v>502</v>
      </c>
      <c r="E86" s="48" t="s">
        <v>503</v>
      </c>
      <c r="F86" s="7">
        <v>5.0</v>
      </c>
      <c r="G86" s="9" t="str">
        <f>_xlfn.IFERROR(AVERAGE(H86:AB86)+ROW()*0.0000001,"")</f>
        <v/>
      </c>
      <c r="H86" s="11" t="str">
        <f>Cek_F!E11</f>
        <v/>
      </c>
      <c r="I86" s="11" t="str">
        <f>Cek_F!F11</f>
        <v/>
      </c>
      <c r="J86" s="11" t="str">
        <f>Cek_F!G11</f>
        <v/>
      </c>
      <c r="K86" s="11" t="str">
        <f>Cek_F!H11</f>
        <v/>
      </c>
      <c r="L86" s="11" t="str">
        <f>Cek_F!I11</f>
        <v/>
      </c>
      <c r="M86" s="11" t="str">
        <f>Cek_F!J11</f>
        <v/>
      </c>
      <c r="N86" s="11" t="str">
        <f>Cek_F!K11</f>
        <v/>
      </c>
      <c r="O86" s="11" t="str">
        <f>Cek_F!L11</f>
        <v/>
      </c>
      <c r="P86" s="11" t="str">
        <f>Cek_F!M11</f>
        <v/>
      </c>
      <c r="Q86" s="11" t="str">
        <f>Cek_F!N11</f>
        <v/>
      </c>
      <c r="R86" s="11" t="str">
        <f>Cek_F!O11</f>
        <v/>
      </c>
      <c r="S86" s="11" t="str">
        <f>Cek_F!P11</f>
        <v/>
      </c>
      <c r="T86" s="11" t="str">
        <f>Cek_F!Q11</f>
        <v/>
      </c>
      <c r="U86" s="11" t="str">
        <f>Cek_F!R11</f>
        <v/>
      </c>
      <c r="V86" s="11" t="str">
        <f>Cek_F!S11</f>
        <v/>
      </c>
      <c r="W86" s="11" t="str">
        <f>Cek_F!T11</f>
        <v/>
      </c>
      <c r="X86" s="11" t="str">
        <f>Cek_F!U11</f>
        <v/>
      </c>
      <c r="Y86" s="11" t="str">
        <f>Cek_F!V11</f>
        <v/>
      </c>
      <c r="Z86" s="11" t="str">
        <f>Cek_F!W11</f>
        <v/>
      </c>
      <c r="AA86" s="11" t="str">
        <f>Cek_F!X11</f>
        <v/>
      </c>
      <c r="AB86" s="11" t="str">
        <f>Cek_F!Y11</f>
        <v/>
      </c>
    </row>
    <row r="87" spans="8:8">
      <c r="A87" s="7">
        <v>85.0</v>
      </c>
      <c r="B87" s="7" t="s">
        <v>1086</v>
      </c>
      <c r="C87" s="47" t="s">
        <v>1195</v>
      </c>
      <c r="D87" s="7" t="s">
        <v>514</v>
      </c>
      <c r="E87" s="48" t="s">
        <v>515</v>
      </c>
      <c r="F87" s="7">
        <v>5.0</v>
      </c>
      <c r="G87" s="9" t="str">
        <f>_xlfn.IFERROR(AVERAGE(H87:AB87)+ROW()*0.0000001,"")</f>
        <v/>
      </c>
      <c r="H87" s="11" t="str">
        <f>Cek_F!E17</f>
        <v/>
      </c>
      <c r="I87" s="11" t="str">
        <f>Cek_F!F17</f>
        <v/>
      </c>
      <c r="J87" s="11" t="str">
        <f>Cek_F!G17</f>
        <v/>
      </c>
      <c r="K87" s="11" t="str">
        <f>Cek_F!H17</f>
        <v/>
      </c>
      <c r="L87" s="11" t="str">
        <f>Cek_F!I17</f>
        <v/>
      </c>
      <c r="M87" s="11" t="str">
        <f>Cek_F!J17</f>
        <v/>
      </c>
      <c r="N87" s="11" t="str">
        <f>Cek_F!K17</f>
        <v/>
      </c>
      <c r="O87" s="11" t="str">
        <f>Cek_F!L17</f>
        <v/>
      </c>
      <c r="P87" s="11" t="str">
        <f>Cek_F!M17</f>
        <v/>
      </c>
      <c r="Q87" s="11" t="str">
        <f>Cek_F!N17</f>
        <v/>
      </c>
      <c r="R87" s="11" t="str">
        <f>Cek_F!O17</f>
        <v/>
      </c>
      <c r="S87" s="11" t="str">
        <f>Cek_F!P17</f>
        <v/>
      </c>
      <c r="T87" s="11" t="str">
        <f>Cek_F!Q17</f>
        <v/>
      </c>
      <c r="U87" s="11" t="str">
        <f>Cek_F!R17</f>
        <v/>
      </c>
      <c r="V87" s="11" t="str">
        <f>Cek_F!S17</f>
        <v/>
      </c>
      <c r="W87" s="11" t="str">
        <f>Cek_F!T17</f>
        <v/>
      </c>
      <c r="X87" s="11" t="str">
        <f>Cek_F!U17</f>
        <v/>
      </c>
      <c r="Y87" s="11" t="str">
        <f>Cek_F!V17</f>
        <v/>
      </c>
      <c r="Z87" s="11" t="str">
        <f>Cek_F!W17</f>
        <v/>
      </c>
      <c r="AA87" s="11" t="str">
        <f>Cek_F!X17</f>
        <v/>
      </c>
      <c r="AB87" s="11" t="str">
        <f>Cek_F!Y17</f>
        <v/>
      </c>
    </row>
    <row r="88" spans="8:8">
      <c r="A88" s="7">
        <v>86.0</v>
      </c>
      <c r="B88" s="7" t="s">
        <v>1086</v>
      </c>
      <c r="C88" s="47" t="s">
        <v>1195</v>
      </c>
      <c r="D88" s="7" t="s">
        <v>526</v>
      </c>
      <c r="E88" s="48" t="s">
        <v>527</v>
      </c>
      <c r="F88" s="7">
        <v>5.0</v>
      </c>
      <c r="G88" s="9" t="str">
        <f>_xlfn.IFERROR(AVERAGE(H88:AB88)+ROW()*0.0000001,"")</f>
        <v/>
      </c>
      <c r="H88" s="11" t="str">
        <f>Cek_F!E23</f>
        <v/>
      </c>
      <c r="I88" s="11" t="str">
        <f>Cek_F!F23</f>
        <v/>
      </c>
      <c r="J88" s="11" t="str">
        <f>Cek_F!G23</f>
        <v/>
      </c>
      <c r="K88" s="11" t="str">
        <f>Cek_F!H23</f>
        <v/>
      </c>
      <c r="L88" s="11" t="str">
        <f>Cek_F!I23</f>
        <v/>
      </c>
      <c r="M88" s="11" t="str">
        <f>Cek_F!J23</f>
        <v/>
      </c>
      <c r="N88" s="11" t="str">
        <f>Cek_F!K23</f>
        <v/>
      </c>
      <c r="O88" s="11" t="str">
        <f>Cek_F!L23</f>
        <v/>
      </c>
      <c r="P88" s="11" t="str">
        <f>Cek_F!M23</f>
        <v/>
      </c>
      <c r="Q88" s="11" t="str">
        <f>Cek_F!N23</f>
        <v/>
      </c>
      <c r="R88" s="11" t="str">
        <f>Cek_F!O23</f>
        <v/>
      </c>
      <c r="S88" s="11" t="str">
        <f>Cek_F!P23</f>
        <v/>
      </c>
      <c r="T88" s="11" t="str">
        <f>Cek_F!Q23</f>
        <v/>
      </c>
      <c r="U88" s="11" t="str">
        <f>Cek_F!R23</f>
        <v/>
      </c>
      <c r="V88" s="11" t="str">
        <f>Cek_F!S23</f>
        <v/>
      </c>
      <c r="W88" s="11" t="str">
        <f>Cek_F!T23</f>
        <v/>
      </c>
      <c r="X88" s="11" t="str">
        <f>Cek_F!U23</f>
        <v/>
      </c>
      <c r="Y88" s="11" t="str">
        <f>Cek_F!V23</f>
        <v/>
      </c>
      <c r="Z88" s="11" t="str">
        <f>Cek_F!W23</f>
        <v/>
      </c>
      <c r="AA88" s="11" t="str">
        <f>Cek_F!X23</f>
        <v/>
      </c>
      <c r="AB88" s="11" t="str">
        <f>Cek_F!Y23</f>
        <v/>
      </c>
    </row>
    <row r="89" spans="8:8">
      <c r="A89" s="7">
        <v>87.0</v>
      </c>
      <c r="B89" s="7" t="s">
        <v>1086</v>
      </c>
      <c r="C89" s="47" t="s">
        <v>1196</v>
      </c>
      <c r="D89" s="7" t="s">
        <v>540</v>
      </c>
      <c r="E89" s="48" t="s">
        <v>541</v>
      </c>
      <c r="F89" s="7">
        <v>5.0</v>
      </c>
      <c r="G89" s="9" t="str">
        <f>_xlfn.IFERROR(AVERAGE(H89:AB89)+ROW()*0.0000001,"")</f>
        <v/>
      </c>
      <c r="H89" s="11" t="str">
        <f>Cek_F!E31</f>
        <v/>
      </c>
      <c r="I89" s="11" t="str">
        <f>Cek_F!F31</f>
        <v/>
      </c>
      <c r="J89" s="11" t="str">
        <f>Cek_F!G31</f>
        <v/>
      </c>
      <c r="K89" s="11" t="str">
        <f>Cek_F!H31</f>
        <v/>
      </c>
      <c r="L89" s="11" t="str">
        <f>Cek_F!I31</f>
        <v/>
      </c>
      <c r="M89" s="11" t="str">
        <f>Cek_F!J31</f>
        <v/>
      </c>
      <c r="N89" s="11" t="str">
        <f>Cek_F!K31</f>
        <v/>
      </c>
      <c r="O89" s="11" t="str">
        <f>Cek_F!L31</f>
        <v/>
      </c>
      <c r="P89" s="11" t="str">
        <f>Cek_F!M31</f>
        <v/>
      </c>
      <c r="Q89" s="11" t="str">
        <f>Cek_F!N31</f>
        <v/>
      </c>
      <c r="R89" s="11" t="str">
        <f>Cek_F!O31</f>
        <v/>
      </c>
      <c r="S89" s="11" t="str">
        <f>Cek_F!P31</f>
        <v/>
      </c>
      <c r="T89" s="11" t="str">
        <f>Cek_F!Q31</f>
        <v/>
      </c>
      <c r="U89" s="11" t="str">
        <f>Cek_F!R31</f>
        <v/>
      </c>
      <c r="V89" s="11" t="str">
        <f>Cek_F!S31</f>
        <v/>
      </c>
      <c r="W89" s="11" t="str">
        <f>Cek_F!T31</f>
        <v/>
      </c>
      <c r="X89" s="11" t="str">
        <f>Cek_F!U31</f>
        <v/>
      </c>
      <c r="Y89" s="11" t="str">
        <f>Cek_F!V31</f>
        <v/>
      </c>
      <c r="Z89" s="11" t="str">
        <f>Cek_F!W31</f>
        <v/>
      </c>
      <c r="AA89" s="11" t="str">
        <f>Cek_F!X31</f>
        <v/>
      </c>
      <c r="AB89" s="11" t="str">
        <f>Cek_F!Y31</f>
        <v/>
      </c>
    </row>
    <row r="90" spans="8:8">
      <c r="A90" s="7">
        <v>88.0</v>
      </c>
      <c r="B90" s="7" t="s">
        <v>1086</v>
      </c>
      <c r="C90" s="47" t="s">
        <v>1196</v>
      </c>
      <c r="D90" s="7" t="s">
        <v>552</v>
      </c>
      <c r="E90" s="48" t="s">
        <v>553</v>
      </c>
      <c r="F90" s="7">
        <v>5.0</v>
      </c>
      <c r="G90" s="9" t="str">
        <f>_xlfn.IFERROR(AVERAGE(H90:AB90)+ROW()*0.0000001,"")</f>
        <v/>
      </c>
      <c r="H90" s="11" t="str">
        <f>Cek_F!E37</f>
        <v/>
      </c>
      <c r="I90" s="11" t="str">
        <f>Cek_F!F37</f>
        <v/>
      </c>
      <c r="J90" s="11" t="str">
        <f>Cek_F!G37</f>
        <v/>
      </c>
      <c r="K90" s="11" t="str">
        <f>Cek_F!H37</f>
        <v/>
      </c>
      <c r="L90" s="11" t="str">
        <f>Cek_F!I37</f>
        <v/>
      </c>
      <c r="M90" s="11" t="str">
        <f>Cek_F!J37</f>
        <v/>
      </c>
      <c r="N90" s="11" t="str">
        <f>Cek_F!K37</f>
        <v/>
      </c>
      <c r="O90" s="11" t="str">
        <f>Cek_F!L37</f>
        <v/>
      </c>
      <c r="P90" s="11" t="str">
        <f>Cek_F!M37</f>
        <v/>
      </c>
      <c r="Q90" s="11" t="str">
        <f>Cek_F!N37</f>
        <v/>
      </c>
      <c r="R90" s="11" t="str">
        <f>Cek_F!O37</f>
        <v/>
      </c>
      <c r="S90" s="11" t="str">
        <f>Cek_F!P37</f>
        <v/>
      </c>
      <c r="T90" s="11" t="str">
        <f>Cek_F!Q37</f>
        <v/>
      </c>
      <c r="U90" s="11" t="str">
        <f>Cek_F!R37</f>
        <v/>
      </c>
      <c r="V90" s="11" t="str">
        <f>Cek_F!S37</f>
        <v/>
      </c>
      <c r="W90" s="11" t="str">
        <f>Cek_F!T37</f>
        <v/>
      </c>
      <c r="X90" s="11" t="str">
        <f>Cek_F!U37</f>
        <v/>
      </c>
      <c r="Y90" s="11" t="str">
        <f>Cek_F!V37</f>
        <v/>
      </c>
      <c r="Z90" s="11" t="str">
        <f>Cek_F!W37</f>
        <v/>
      </c>
      <c r="AA90" s="11" t="str">
        <f>Cek_F!X37</f>
        <v/>
      </c>
      <c r="AB90" s="11" t="str">
        <f>Cek_F!Y37</f>
        <v/>
      </c>
    </row>
    <row r="91" spans="8:8">
      <c r="A91" s="7">
        <v>89.0</v>
      </c>
      <c r="B91" s="7" t="s">
        <v>1086</v>
      </c>
      <c r="C91" s="47" t="s">
        <v>1196</v>
      </c>
      <c r="D91" s="7" t="s">
        <v>564</v>
      </c>
      <c r="E91" s="48" t="s">
        <v>565</v>
      </c>
      <c r="F91" s="7">
        <v>5.0</v>
      </c>
      <c r="G91" s="9" t="str">
        <f>_xlfn.IFERROR(AVERAGE(H91:AB91)+ROW()*0.0000001,"")</f>
        <v/>
      </c>
      <c r="H91" s="11" t="str">
        <f>Cek_F!E43</f>
        <v/>
      </c>
      <c r="I91" s="11" t="str">
        <f>Cek_F!F43</f>
        <v/>
      </c>
      <c r="J91" s="11" t="str">
        <f>Cek_F!G43</f>
        <v/>
      </c>
      <c r="K91" s="11" t="str">
        <f>Cek_F!H43</f>
        <v/>
      </c>
      <c r="L91" s="11" t="str">
        <f>Cek_F!I43</f>
        <v/>
      </c>
      <c r="M91" s="11" t="str">
        <f>Cek_F!J43</f>
        <v/>
      </c>
      <c r="N91" s="11" t="str">
        <f>Cek_F!K43</f>
        <v/>
      </c>
      <c r="O91" s="11" t="str">
        <f>Cek_F!L43</f>
        <v/>
      </c>
      <c r="P91" s="11" t="str">
        <f>Cek_F!M43</f>
        <v/>
      </c>
      <c r="Q91" s="11" t="str">
        <f>Cek_F!N43</f>
        <v/>
      </c>
      <c r="R91" s="11" t="str">
        <f>Cek_F!O43</f>
        <v/>
      </c>
      <c r="S91" s="11" t="str">
        <f>Cek_F!P43</f>
        <v/>
      </c>
      <c r="T91" s="11" t="str">
        <f>Cek_F!Q43</f>
        <v/>
      </c>
      <c r="U91" s="11" t="str">
        <f>Cek_F!R43</f>
        <v/>
      </c>
      <c r="V91" s="11" t="str">
        <f>Cek_F!S43</f>
        <v/>
      </c>
      <c r="W91" s="11" t="str">
        <f>Cek_F!T43</f>
        <v/>
      </c>
      <c r="X91" s="11" t="str">
        <f>Cek_F!U43</f>
        <v/>
      </c>
      <c r="Y91" s="11" t="str">
        <f>Cek_F!V43</f>
        <v/>
      </c>
      <c r="Z91" s="11" t="str">
        <f>Cek_F!W43</f>
        <v/>
      </c>
      <c r="AA91" s="11" t="str">
        <f>Cek_F!X43</f>
        <v/>
      </c>
      <c r="AB91" s="11" t="str">
        <f>Cek_F!Y43</f>
        <v/>
      </c>
    </row>
    <row r="92" spans="8:8">
      <c r="A92" s="7">
        <v>90.0</v>
      </c>
      <c r="B92" s="7" t="s">
        <v>1086</v>
      </c>
      <c r="C92" s="47" t="s">
        <v>1196</v>
      </c>
      <c r="D92" s="7" t="s">
        <v>576</v>
      </c>
      <c r="E92" s="48" t="s">
        <v>577</v>
      </c>
      <c r="F92" s="7">
        <v>5.0</v>
      </c>
      <c r="G92" s="9" t="str">
        <f>_xlfn.IFERROR(AVERAGE(H92:AB92)+ROW()*0.0000001,"")</f>
        <v/>
      </c>
      <c r="H92" s="11" t="str">
        <f>Cek_F!E49</f>
        <v/>
      </c>
      <c r="I92" s="11" t="str">
        <f>Cek_F!F49</f>
        <v/>
      </c>
      <c r="J92" s="11" t="str">
        <f>Cek_F!G49</f>
        <v/>
      </c>
      <c r="K92" s="11" t="str">
        <f>Cek_F!H49</f>
        <v/>
      </c>
      <c r="L92" s="11" t="str">
        <f>Cek_F!I49</f>
        <v/>
      </c>
      <c r="M92" s="11" t="str">
        <f>Cek_F!J49</f>
        <v/>
      </c>
      <c r="N92" s="11" t="str">
        <f>Cek_F!K49</f>
        <v/>
      </c>
      <c r="O92" s="11" t="str">
        <f>Cek_F!L49</f>
        <v/>
      </c>
      <c r="P92" s="11" t="str">
        <f>Cek_F!M49</f>
        <v/>
      </c>
      <c r="Q92" s="11" t="str">
        <f>Cek_F!N49</f>
        <v/>
      </c>
      <c r="R92" s="11" t="str">
        <f>Cek_F!O49</f>
        <v/>
      </c>
      <c r="S92" s="11" t="str">
        <f>Cek_F!P49</f>
        <v/>
      </c>
      <c r="T92" s="11" t="str">
        <f>Cek_F!Q49</f>
        <v/>
      </c>
      <c r="U92" s="11" t="str">
        <f>Cek_F!R49</f>
        <v/>
      </c>
      <c r="V92" s="11" t="str">
        <f>Cek_F!S49</f>
        <v/>
      </c>
      <c r="W92" s="11" t="str">
        <f>Cek_F!T49</f>
        <v/>
      </c>
      <c r="X92" s="11" t="str">
        <f>Cek_F!U49</f>
        <v/>
      </c>
      <c r="Y92" s="11" t="str">
        <f>Cek_F!V49</f>
        <v/>
      </c>
      <c r="Z92" s="11" t="str">
        <f>Cek_F!W49</f>
        <v/>
      </c>
      <c r="AA92" s="11" t="str">
        <f>Cek_F!X49</f>
        <v/>
      </c>
      <c r="AB92" s="11" t="str">
        <f>Cek_F!Y49</f>
        <v/>
      </c>
    </row>
    <row r="93" spans="8:8">
      <c r="A93" s="7">
        <v>91.0</v>
      </c>
      <c r="B93" s="7" t="s">
        <v>1086</v>
      </c>
      <c r="C93" s="47" t="s">
        <v>1197</v>
      </c>
      <c r="D93" s="7" t="s">
        <v>590</v>
      </c>
      <c r="E93" s="48" t="s">
        <v>591</v>
      </c>
      <c r="F93" s="7">
        <v>6.7</v>
      </c>
      <c r="G93" s="9" t="str">
        <f>_xlfn.IFERROR(AVERAGE(H93:AB93)+ROW()*0.0000001,"")</f>
        <v/>
      </c>
      <c r="H93" s="11" t="str">
        <f>Cek_F!E57</f>
        <v/>
      </c>
      <c r="I93" s="11" t="str">
        <f>Cek_F!F57</f>
        <v/>
      </c>
      <c r="J93" s="11" t="str">
        <f>Cek_F!G57</f>
        <v/>
      </c>
      <c r="K93" s="11" t="str">
        <f>Cek_F!H57</f>
        <v/>
      </c>
      <c r="L93" s="11" t="str">
        <f>Cek_F!I57</f>
        <v/>
      </c>
      <c r="M93" s="11" t="str">
        <f>Cek_F!J57</f>
        <v/>
      </c>
      <c r="N93" s="11" t="str">
        <f>Cek_F!K57</f>
        <v/>
      </c>
      <c r="O93" s="11" t="str">
        <f>Cek_F!L57</f>
        <v/>
      </c>
      <c r="P93" s="11" t="str">
        <f>Cek_F!M57</f>
        <v/>
      </c>
      <c r="Q93" s="11" t="str">
        <f>Cek_F!N57</f>
        <v/>
      </c>
      <c r="R93" s="11" t="str">
        <f>Cek_F!O57</f>
        <v/>
      </c>
      <c r="S93" s="11" t="str">
        <f>Cek_F!P57</f>
        <v/>
      </c>
      <c r="T93" s="11" t="str">
        <f>Cek_F!Q57</f>
        <v/>
      </c>
      <c r="U93" s="11" t="str">
        <f>Cek_F!R57</f>
        <v/>
      </c>
      <c r="V93" s="11" t="str">
        <f>Cek_F!S57</f>
        <v/>
      </c>
      <c r="W93" s="11" t="str">
        <f>Cek_F!T57</f>
        <v/>
      </c>
      <c r="X93" s="11" t="str">
        <f>Cek_F!U57</f>
        <v/>
      </c>
      <c r="Y93" s="11" t="str">
        <f>Cek_F!V57</f>
        <v/>
      </c>
      <c r="Z93" s="11" t="str">
        <f>Cek_F!W57</f>
        <v/>
      </c>
      <c r="AA93" s="11" t="str">
        <f>Cek_F!X57</f>
        <v/>
      </c>
      <c r="AB93" s="11" t="str">
        <f>Cek_F!Y57</f>
        <v/>
      </c>
    </row>
    <row r="94" spans="8:8">
      <c r="A94" s="7">
        <v>92.0</v>
      </c>
      <c r="B94" s="7" t="s">
        <v>1086</v>
      </c>
      <c r="C94" s="47" t="s">
        <v>1197</v>
      </c>
      <c r="D94" s="7" t="s">
        <v>602</v>
      </c>
      <c r="E94" s="48" t="s">
        <v>603</v>
      </c>
      <c r="F94" s="7">
        <v>6.7</v>
      </c>
      <c r="G94" s="9" t="str">
        <f>_xlfn.IFERROR(AVERAGE(H94:AB94)+ROW()*0.0000001,"")</f>
        <v/>
      </c>
      <c r="H94" s="11" t="str">
        <f>Cek_F!E63</f>
        <v/>
      </c>
      <c r="I94" s="11" t="str">
        <f>Cek_F!F63</f>
        <v/>
      </c>
      <c r="J94" s="11" t="str">
        <f>Cek_F!G63</f>
        <v/>
      </c>
      <c r="K94" s="11" t="str">
        <f>Cek_F!H63</f>
        <v/>
      </c>
      <c r="L94" s="11" t="str">
        <f>Cek_F!I63</f>
        <v/>
      </c>
      <c r="M94" s="11" t="str">
        <f>Cek_F!J63</f>
        <v/>
      </c>
      <c r="N94" s="11" t="str">
        <f>Cek_F!K63</f>
        <v/>
      </c>
      <c r="O94" s="11" t="str">
        <f>Cek_F!L63</f>
        <v/>
      </c>
      <c r="P94" s="11" t="str">
        <f>Cek_F!M63</f>
        <v/>
      </c>
      <c r="Q94" s="11" t="str">
        <f>Cek_F!N63</f>
        <v/>
      </c>
      <c r="R94" s="11" t="str">
        <f>Cek_F!O63</f>
        <v/>
      </c>
      <c r="S94" s="11" t="str">
        <f>Cek_F!P63</f>
        <v/>
      </c>
      <c r="T94" s="11" t="str">
        <f>Cek_F!Q63</f>
        <v/>
      </c>
      <c r="U94" s="11" t="str">
        <f>Cek_F!R63</f>
        <v/>
      </c>
      <c r="V94" s="11" t="str">
        <f>Cek_F!S63</f>
        <v/>
      </c>
      <c r="W94" s="11" t="str">
        <f>Cek_F!T63</f>
        <v/>
      </c>
      <c r="X94" s="11" t="str">
        <f>Cek_F!U63</f>
        <v/>
      </c>
      <c r="Y94" s="11" t="str">
        <f>Cek_F!V63</f>
        <v/>
      </c>
      <c r="Z94" s="11" t="str">
        <f>Cek_F!W63</f>
        <v/>
      </c>
      <c r="AA94" s="11" t="str">
        <f>Cek_F!X63</f>
        <v/>
      </c>
      <c r="AB94" s="11" t="str">
        <f>Cek_F!Y63</f>
        <v/>
      </c>
    </row>
    <row r="95" spans="8:8">
      <c r="A95" s="7">
        <v>93.0</v>
      </c>
      <c r="B95" s="7" t="s">
        <v>1086</v>
      </c>
      <c r="C95" s="47" t="s">
        <v>1197</v>
      </c>
      <c r="D95" s="7" t="s">
        <v>614</v>
      </c>
      <c r="E95" s="48" t="s">
        <v>615</v>
      </c>
      <c r="F95" s="7">
        <v>6.6</v>
      </c>
      <c r="G95" s="9" t="str">
        <f>_xlfn.IFERROR(AVERAGE(H95:AB95)+ROW()*0.0000001,"")</f>
        <v/>
      </c>
      <c r="H95" s="11" t="str">
        <f>Cek_F!E69</f>
        <v/>
      </c>
      <c r="I95" s="11" t="str">
        <f>Cek_F!F69</f>
        <v/>
      </c>
      <c r="J95" s="11" t="str">
        <f>Cek_F!G69</f>
        <v/>
      </c>
      <c r="K95" s="11" t="str">
        <f>Cek_F!H69</f>
        <v/>
      </c>
      <c r="L95" s="11" t="str">
        <f>Cek_F!I69</f>
        <v/>
      </c>
      <c r="M95" s="11" t="str">
        <f>Cek_F!J69</f>
        <v/>
      </c>
      <c r="N95" s="11" t="str">
        <f>Cek_F!K69</f>
        <v/>
      </c>
      <c r="O95" s="11" t="str">
        <f>Cek_F!L69</f>
        <v/>
      </c>
      <c r="P95" s="11" t="str">
        <f>Cek_F!M69</f>
        <v/>
      </c>
      <c r="Q95" s="11" t="str">
        <f>Cek_F!N69</f>
        <v/>
      </c>
      <c r="R95" s="11" t="str">
        <f>Cek_F!O69</f>
        <v/>
      </c>
      <c r="S95" s="11" t="str">
        <f>Cek_F!P69</f>
        <v/>
      </c>
      <c r="T95" s="11" t="str">
        <f>Cek_F!Q69</f>
        <v/>
      </c>
      <c r="U95" s="11" t="str">
        <f>Cek_F!R69</f>
        <v/>
      </c>
      <c r="V95" s="11" t="str">
        <f>Cek_F!S69</f>
        <v/>
      </c>
      <c r="W95" s="11" t="str">
        <f>Cek_F!T69</f>
        <v/>
      </c>
      <c r="X95" s="11" t="str">
        <f>Cek_F!U69</f>
        <v/>
      </c>
      <c r="Y95" s="11" t="str">
        <f>Cek_F!V69</f>
        <v/>
      </c>
      <c r="Z95" s="11" t="str">
        <f>Cek_F!W69</f>
        <v/>
      </c>
      <c r="AA95" s="11" t="str">
        <f>Cek_F!X69</f>
        <v/>
      </c>
      <c r="AB95" s="11" t="str">
        <f>Cek_F!Y69</f>
        <v/>
      </c>
    </row>
    <row r="96" spans="8:8">
      <c r="A96" s="7">
        <v>94.0</v>
      </c>
      <c r="B96" s="7" t="s">
        <v>1086</v>
      </c>
      <c r="C96" s="47" t="s">
        <v>1198</v>
      </c>
      <c r="D96" s="7" t="s">
        <v>628</v>
      </c>
      <c r="E96" s="48" t="s">
        <v>629</v>
      </c>
      <c r="F96" s="7">
        <v>10.0</v>
      </c>
      <c r="G96" s="9" t="str">
        <f>_xlfn.IFERROR(AVERAGE(H96:AB96)+ROW()*0.0000001,"")</f>
        <v/>
      </c>
      <c r="H96" s="11" t="str">
        <f>Cek_F!E77</f>
        <v/>
      </c>
      <c r="I96" s="11" t="str">
        <f>Cek_F!F77</f>
        <v/>
      </c>
      <c r="J96" s="11" t="str">
        <f>Cek_F!G77</f>
        <v/>
      </c>
      <c r="K96" s="11" t="str">
        <f>Cek_F!H77</f>
        <v/>
      </c>
      <c r="L96" s="11" t="str">
        <f>Cek_F!I77</f>
        <v/>
      </c>
      <c r="M96" s="11" t="str">
        <f>Cek_F!J77</f>
        <v/>
      </c>
      <c r="N96" s="11" t="str">
        <f>Cek_F!K77</f>
        <v/>
      </c>
      <c r="O96" s="11" t="str">
        <f>Cek_F!L77</f>
        <v/>
      </c>
      <c r="P96" s="11" t="str">
        <f>Cek_F!M77</f>
        <v/>
      </c>
      <c r="Q96" s="11" t="str">
        <f>Cek_F!N77</f>
        <v/>
      </c>
      <c r="R96" s="11" t="str">
        <f>Cek_F!O77</f>
        <v/>
      </c>
      <c r="S96" s="11" t="str">
        <f>Cek_F!P77</f>
        <v/>
      </c>
      <c r="T96" s="11" t="str">
        <f>Cek_F!Q77</f>
        <v/>
      </c>
      <c r="U96" s="11" t="str">
        <f>Cek_F!R77</f>
        <v/>
      </c>
      <c r="V96" s="11" t="str">
        <f>Cek_F!S77</f>
        <v/>
      </c>
      <c r="W96" s="11" t="str">
        <f>Cek_F!T77</f>
        <v/>
      </c>
      <c r="X96" s="11" t="str">
        <f>Cek_F!U77</f>
        <v/>
      </c>
      <c r="Y96" s="11" t="str">
        <f>Cek_F!V77</f>
        <v/>
      </c>
      <c r="Z96" s="11" t="str">
        <f>Cek_F!W77</f>
        <v/>
      </c>
      <c r="AA96" s="11" t="str">
        <f>Cek_F!X77</f>
        <v/>
      </c>
      <c r="AB96" s="11" t="str">
        <f>Cek_F!Y77</f>
        <v/>
      </c>
    </row>
    <row r="97" spans="8:8">
      <c r="A97" s="7">
        <v>95.0</v>
      </c>
      <c r="B97" s="7" t="s">
        <v>1086</v>
      </c>
      <c r="C97" s="47" t="s">
        <v>1198</v>
      </c>
      <c r="D97" s="7" t="s">
        <v>640</v>
      </c>
      <c r="E97" s="48" t="s">
        <v>641</v>
      </c>
      <c r="F97" s="7">
        <v>10.0</v>
      </c>
      <c r="G97" s="9" t="str">
        <f>_xlfn.IFERROR(AVERAGE(H97:AB97)+ROW()*0.0000001,"")</f>
        <v/>
      </c>
      <c r="H97" s="11" t="str">
        <f>Cek_F!E83</f>
        <v/>
      </c>
      <c r="I97" s="11" t="str">
        <f>Cek_F!F83</f>
        <v/>
      </c>
      <c r="J97" s="11" t="str">
        <f>Cek_F!G83</f>
        <v/>
      </c>
      <c r="K97" s="11" t="str">
        <f>Cek_F!H83</f>
        <v/>
      </c>
      <c r="L97" s="11" t="str">
        <f>Cek_F!I83</f>
        <v/>
      </c>
      <c r="M97" s="11" t="str">
        <f>Cek_F!J83</f>
        <v/>
      </c>
      <c r="N97" s="11" t="str">
        <f>Cek_F!K83</f>
        <v/>
      </c>
      <c r="O97" s="11" t="str">
        <f>Cek_F!L83</f>
        <v/>
      </c>
      <c r="P97" s="11" t="str">
        <f>Cek_F!M83</f>
        <v/>
      </c>
      <c r="Q97" s="11" t="str">
        <f>Cek_F!N83</f>
        <v/>
      </c>
      <c r="R97" s="11" t="str">
        <f>Cek_F!O83</f>
        <v/>
      </c>
      <c r="S97" s="11" t="str">
        <f>Cek_F!P83</f>
        <v/>
      </c>
      <c r="T97" s="11" t="str">
        <f>Cek_F!Q83</f>
        <v/>
      </c>
      <c r="U97" s="11" t="str">
        <f>Cek_F!R83</f>
        <v/>
      </c>
      <c r="V97" s="11" t="str">
        <f>Cek_F!S83</f>
        <v/>
      </c>
      <c r="W97" s="11" t="str">
        <f>Cek_F!T83</f>
        <v/>
      </c>
      <c r="X97" s="11" t="str">
        <f>Cek_F!U83</f>
        <v/>
      </c>
      <c r="Y97" s="11" t="str">
        <f>Cek_F!V83</f>
        <v/>
      </c>
      <c r="Z97" s="11" t="str">
        <f>Cek_F!W83</f>
        <v/>
      </c>
      <c r="AA97" s="11" t="str">
        <f>Cek_F!X83</f>
        <v/>
      </c>
      <c r="AB97" s="11" t="str">
        <f>Cek_F!Y83</f>
        <v/>
      </c>
    </row>
    <row r="98" spans="8:8">
      <c r="A98" s="7">
        <v>96.0</v>
      </c>
      <c r="B98" s="7" t="s">
        <v>1086</v>
      </c>
      <c r="C98" s="47" t="s">
        <v>1199</v>
      </c>
      <c r="D98" s="7" t="s">
        <v>654</v>
      </c>
      <c r="E98" s="48" t="s">
        <v>655</v>
      </c>
      <c r="F98" s="7">
        <v>6.7</v>
      </c>
      <c r="G98" s="9" t="str">
        <f>_xlfn.IFERROR(AVERAGE(H98:AB98)+ROW()*0.0000001,"")</f>
        <v/>
      </c>
      <c r="H98" s="11" t="str">
        <f>Cek_F!E91</f>
        <v/>
      </c>
      <c r="I98" s="11" t="str">
        <f>Cek_F!F91</f>
        <v/>
      </c>
      <c r="J98" s="11" t="str">
        <f>Cek_F!G91</f>
        <v/>
      </c>
      <c r="K98" s="11" t="str">
        <f>Cek_F!H91</f>
        <v/>
      </c>
      <c r="L98" s="11" t="str">
        <f>Cek_F!I91</f>
        <v/>
      </c>
      <c r="M98" s="11" t="str">
        <f>Cek_F!J91</f>
        <v/>
      </c>
      <c r="N98" s="11" t="str">
        <f>Cek_F!K91</f>
        <v/>
      </c>
      <c r="O98" s="11" t="str">
        <f>Cek_F!L91</f>
        <v/>
      </c>
      <c r="P98" s="11" t="str">
        <f>Cek_F!M91</f>
        <v/>
      </c>
      <c r="Q98" s="11" t="str">
        <f>Cek_F!N91</f>
        <v/>
      </c>
      <c r="R98" s="11" t="str">
        <f>Cek_F!O91</f>
        <v/>
      </c>
      <c r="S98" s="11" t="str">
        <f>Cek_F!P91</f>
        <v/>
      </c>
      <c r="T98" s="11" t="str">
        <f>Cek_F!Q91</f>
        <v/>
      </c>
      <c r="U98" s="11" t="str">
        <f>Cek_F!R91</f>
        <v/>
      </c>
      <c r="V98" s="11" t="str">
        <f>Cek_F!S91</f>
        <v/>
      </c>
      <c r="W98" s="11" t="str">
        <f>Cek_F!T91</f>
        <v/>
      </c>
      <c r="X98" s="11" t="str">
        <f>Cek_F!U91</f>
        <v/>
      </c>
      <c r="Y98" s="11" t="str">
        <f>Cek_F!V91</f>
        <v/>
      </c>
      <c r="Z98" s="11" t="str">
        <f>Cek_F!W91</f>
        <v/>
      </c>
      <c r="AA98" s="11" t="str">
        <f>Cek_F!X91</f>
        <v/>
      </c>
      <c r="AB98" s="11" t="str">
        <f>Cek_F!Y91</f>
        <v/>
      </c>
    </row>
    <row r="99" spans="8:8">
      <c r="A99" s="7">
        <v>97.0</v>
      </c>
      <c r="B99" s="7" t="s">
        <v>1086</v>
      </c>
      <c r="C99" s="47" t="s">
        <v>1199</v>
      </c>
      <c r="D99" s="7" t="s">
        <v>666</v>
      </c>
      <c r="E99" s="48" t="s">
        <v>667</v>
      </c>
      <c r="F99" s="7">
        <v>6.7</v>
      </c>
      <c r="G99" s="9" t="str">
        <f>_xlfn.IFERROR(AVERAGE(H99:AB99)+ROW()*0.0000001,"")</f>
        <v/>
      </c>
      <c r="H99" s="11" t="str">
        <f>Cek_F!E97</f>
        <v/>
      </c>
      <c r="I99" s="11" t="str">
        <f>Cek_F!F97</f>
        <v/>
      </c>
      <c r="J99" s="11" t="str">
        <f>Cek_F!G97</f>
        <v/>
      </c>
      <c r="K99" s="11" t="str">
        <f>Cek_F!H97</f>
        <v/>
      </c>
      <c r="L99" s="11" t="str">
        <f>Cek_F!I97</f>
        <v/>
      </c>
      <c r="M99" s="11" t="str">
        <f>Cek_F!J97</f>
        <v/>
      </c>
      <c r="N99" s="11" t="str">
        <f>Cek_F!K97</f>
        <v/>
      </c>
      <c r="O99" s="11" t="str">
        <f>Cek_F!L97</f>
        <v/>
      </c>
      <c r="P99" s="11" t="str">
        <f>Cek_F!M97</f>
        <v/>
      </c>
      <c r="Q99" s="11" t="str">
        <f>Cek_F!N97</f>
        <v/>
      </c>
      <c r="R99" s="11" t="str">
        <f>Cek_F!O97</f>
        <v/>
      </c>
      <c r="S99" s="11" t="str">
        <f>Cek_F!P97</f>
        <v/>
      </c>
      <c r="T99" s="11" t="str">
        <f>Cek_F!Q97</f>
        <v/>
      </c>
      <c r="U99" s="11" t="str">
        <f>Cek_F!R97</f>
        <v/>
      </c>
      <c r="V99" s="11" t="str">
        <f>Cek_F!S97</f>
        <v/>
      </c>
      <c r="W99" s="11" t="str">
        <f>Cek_F!T97</f>
        <v/>
      </c>
      <c r="X99" s="11" t="str">
        <f>Cek_F!U97</f>
        <v/>
      </c>
      <c r="Y99" s="11" t="str">
        <f>Cek_F!V97</f>
        <v/>
      </c>
      <c r="Z99" s="11" t="str">
        <f>Cek_F!W97</f>
        <v/>
      </c>
      <c r="AA99" s="11" t="str">
        <f>Cek_F!X97</f>
        <v/>
      </c>
      <c r="AB99" s="11" t="str">
        <f>Cek_F!Y97</f>
        <v/>
      </c>
    </row>
    <row r="100" spans="8:8">
      <c r="A100" s="7">
        <v>98.0</v>
      </c>
      <c r="B100" s="7" t="s">
        <v>1086</v>
      </c>
      <c r="C100" s="47" t="s">
        <v>1199</v>
      </c>
      <c r="D100" s="7" t="s">
        <v>678</v>
      </c>
      <c r="E100" s="48" t="s">
        <v>679</v>
      </c>
      <c r="F100" s="7">
        <v>6.6</v>
      </c>
      <c r="G100" s="9" t="str">
        <f>_xlfn.IFERROR(AVERAGE(H100:AB100)+ROW()*0.0000001,"")</f>
        <v/>
      </c>
      <c r="H100" s="11" t="str">
        <f>Cek_F!E103</f>
        <v/>
      </c>
      <c r="I100" s="11" t="str">
        <f>Cek_F!F103</f>
        <v/>
      </c>
      <c r="J100" s="11" t="str">
        <f>Cek_F!G103</f>
        <v/>
      </c>
      <c r="K100" s="11" t="str">
        <f>Cek_F!H103</f>
        <v/>
      </c>
      <c r="L100" s="11" t="str">
        <f>Cek_F!I103</f>
        <v/>
      </c>
      <c r="M100" s="11" t="str">
        <f>Cek_F!J103</f>
        <v/>
      </c>
      <c r="N100" s="11" t="str">
        <f>Cek_F!K103</f>
        <v/>
      </c>
      <c r="O100" s="11" t="str">
        <f>Cek_F!L103</f>
        <v/>
      </c>
      <c r="P100" s="11" t="str">
        <f>Cek_F!M103</f>
        <v/>
      </c>
      <c r="Q100" s="11" t="str">
        <f>Cek_F!N103</f>
        <v/>
      </c>
      <c r="R100" s="11" t="str">
        <f>Cek_F!O103</f>
        <v/>
      </c>
      <c r="S100" s="11" t="str">
        <f>Cek_F!P103</f>
        <v/>
      </c>
      <c r="T100" s="11" t="str">
        <f>Cek_F!Q103</f>
        <v/>
      </c>
      <c r="U100" s="11" t="str">
        <f>Cek_F!R103</f>
        <v/>
      </c>
      <c r="V100" s="11" t="str">
        <f>Cek_F!S103</f>
        <v/>
      </c>
      <c r="W100" s="11" t="str">
        <f>Cek_F!T103</f>
        <v/>
      </c>
      <c r="X100" s="11" t="str">
        <f>Cek_F!U103</f>
        <v/>
      </c>
      <c r="Y100" s="11" t="str">
        <f>Cek_F!V103</f>
        <v/>
      </c>
      <c r="Z100" s="11" t="str">
        <f>Cek_F!W103</f>
        <v/>
      </c>
      <c r="AA100" s="11" t="str">
        <f>Cek_F!X103</f>
        <v/>
      </c>
      <c r="AB100" s="11" t="str">
        <f>Cek_F!Y103</f>
        <v/>
      </c>
    </row>
    <row r="101" spans="8:8">
      <c r="A101" s="7">
        <v>99.0</v>
      </c>
      <c r="B101" s="7" t="s">
        <v>1086</v>
      </c>
      <c r="C101" s="47" t="s">
        <v>1200</v>
      </c>
      <c r="D101" s="7" t="s">
        <v>692</v>
      </c>
      <c r="E101" s="48" t="s">
        <v>693</v>
      </c>
      <c r="F101" s="7">
        <v>20.0</v>
      </c>
      <c r="G101" s="9" t="str">
        <f>_xlfn.IFERROR(AVERAGE(H101:AB101)+ROW()*0.0000001,"")</f>
        <v/>
      </c>
      <c r="H101" s="11" t="str">
        <f>Cek_F!E111</f>
        <v/>
      </c>
      <c r="I101" s="11" t="str">
        <f>Cek_F!F111</f>
        <v/>
      </c>
      <c r="J101" s="11" t="str">
        <f>Cek_F!G111</f>
        <v/>
      </c>
      <c r="K101" s="11" t="str">
        <f>Cek_F!H111</f>
        <v/>
      </c>
      <c r="L101" s="11" t="str">
        <f>Cek_F!I111</f>
        <v/>
      </c>
      <c r="M101" s="11" t="str">
        <f>Cek_F!J111</f>
        <v/>
      </c>
      <c r="N101" s="11" t="str">
        <f>Cek_F!K111</f>
        <v/>
      </c>
      <c r="O101" s="11" t="str">
        <f>Cek_F!L111</f>
        <v/>
      </c>
      <c r="P101" s="11" t="str">
        <f>Cek_F!M111</f>
        <v/>
      </c>
      <c r="Q101" s="11" t="str">
        <f>Cek_F!N111</f>
        <v/>
      </c>
      <c r="R101" s="11" t="str">
        <f>Cek_F!O111</f>
        <v/>
      </c>
      <c r="S101" s="11" t="str">
        <f>Cek_F!P111</f>
        <v/>
      </c>
      <c r="T101" s="11" t="str">
        <f>Cek_F!Q111</f>
        <v/>
      </c>
      <c r="U101" s="11" t="str">
        <f>Cek_F!R111</f>
        <v/>
      </c>
      <c r="V101" s="11" t="str">
        <f>Cek_F!S111</f>
        <v/>
      </c>
      <c r="W101" s="11" t="str">
        <f>Cek_F!T111</f>
        <v/>
      </c>
      <c r="X101" s="11" t="str">
        <f>Cek_F!U111</f>
        <v/>
      </c>
      <c r="Y101" s="11" t="str">
        <f>Cek_F!V111</f>
        <v/>
      </c>
      <c r="Z101" s="11" t="str">
        <f>Cek_F!W111</f>
        <v/>
      </c>
      <c r="AA101" s="11" t="str">
        <f>Cek_F!X111</f>
        <v/>
      </c>
      <c r="AB101" s="11" t="str">
        <f>Cek_F!Y111</f>
        <v/>
      </c>
    </row>
    <row r="102" spans="8:8">
      <c r="A102" s="7">
        <v>100.0</v>
      </c>
      <c r="B102" s="7" t="s">
        <v>1086</v>
      </c>
      <c r="C102" s="47" t="s">
        <v>1200</v>
      </c>
      <c r="D102" s="7" t="s">
        <v>704</v>
      </c>
      <c r="E102" s="48" t="s">
        <v>705</v>
      </c>
      <c r="F102" s="7">
        <v>20.0</v>
      </c>
      <c r="G102" s="9" t="str">
        <f>_xlfn.IFERROR(AVERAGE(H102:AB102)+ROW()*0.0000001,"")</f>
        <v/>
      </c>
      <c r="H102" s="11" t="str">
        <f>Cek_F!E117</f>
        <v/>
      </c>
      <c r="I102" s="11" t="str">
        <f>Cek_F!F117</f>
        <v/>
      </c>
      <c r="J102" s="11" t="str">
        <f>Cek_F!G117</f>
        <v/>
      </c>
      <c r="K102" s="11" t="str">
        <f>Cek_F!H117</f>
        <v/>
      </c>
      <c r="L102" s="11" t="str">
        <f>Cek_F!I117</f>
        <v/>
      </c>
      <c r="M102" s="11" t="str">
        <f>Cek_F!J117</f>
        <v/>
      </c>
      <c r="N102" s="11" t="str">
        <f>Cek_F!K117</f>
        <v/>
      </c>
      <c r="O102" s="11" t="str">
        <f>Cek_F!L117</f>
        <v/>
      </c>
      <c r="P102" s="11" t="str">
        <f>Cek_F!M117</f>
        <v/>
      </c>
      <c r="Q102" s="11" t="str">
        <f>Cek_F!N117</f>
        <v/>
      </c>
      <c r="R102" s="11" t="str">
        <f>Cek_F!O117</f>
        <v/>
      </c>
      <c r="S102" s="11" t="str">
        <f>Cek_F!P117</f>
        <v/>
      </c>
      <c r="T102" s="11" t="str">
        <f>Cek_F!Q117</f>
        <v/>
      </c>
      <c r="U102" s="11" t="str">
        <f>Cek_F!R117</f>
        <v/>
      </c>
      <c r="V102" s="11" t="str">
        <f>Cek_F!S117</f>
        <v/>
      </c>
      <c r="W102" s="11" t="str">
        <f>Cek_F!T117</f>
        <v/>
      </c>
      <c r="X102" s="11" t="str">
        <f>Cek_F!U117</f>
        <v/>
      </c>
      <c r="Y102" s="11" t="str">
        <f>Cek_F!V117</f>
        <v/>
      </c>
      <c r="Z102" s="11" t="str">
        <f>Cek_F!W117</f>
        <v/>
      </c>
      <c r="AA102" s="11" t="str">
        <f>Cek_F!X117</f>
        <v/>
      </c>
      <c r="AB102" s="11" t="str">
        <f>Cek_F!Y117</f>
        <v/>
      </c>
    </row>
    <row r="103" spans="8:8">
      <c r="A103" s="7">
        <v>101.0</v>
      </c>
      <c r="B103" s="7" t="s">
        <v>1086</v>
      </c>
      <c r="C103" s="47" t="s">
        <v>1200</v>
      </c>
      <c r="D103" s="7" t="s">
        <v>716</v>
      </c>
      <c r="E103" s="48" t="s">
        <v>717</v>
      </c>
      <c r="F103" s="7">
        <v>20.0</v>
      </c>
      <c r="G103" s="9" t="str">
        <f>_xlfn.IFERROR(AVERAGE(H103:AB103)+ROW()*0.0000001,"")</f>
        <v/>
      </c>
      <c r="H103" s="11" t="str">
        <f>Cek_F!E123</f>
        <v/>
      </c>
      <c r="I103" s="11" t="str">
        <f>Cek_F!F123</f>
        <v/>
      </c>
      <c r="J103" s="11" t="str">
        <f>Cek_F!G123</f>
        <v/>
      </c>
      <c r="K103" s="11" t="str">
        <f>Cek_F!H123</f>
        <v/>
      </c>
      <c r="L103" s="11" t="str">
        <f>Cek_F!I123</f>
        <v/>
      </c>
      <c r="M103" s="11" t="str">
        <f>Cek_F!J123</f>
        <v/>
      </c>
      <c r="N103" s="11" t="str">
        <f>Cek_F!K123</f>
        <v/>
      </c>
      <c r="O103" s="11" t="str">
        <f>Cek_F!L123</f>
        <v/>
      </c>
      <c r="P103" s="11" t="str">
        <f>Cek_F!M123</f>
        <v/>
      </c>
      <c r="Q103" s="11" t="str">
        <f>Cek_F!N123</f>
        <v/>
      </c>
      <c r="R103" s="11" t="str">
        <f>Cek_F!O123</f>
        <v/>
      </c>
      <c r="S103" s="11" t="str">
        <f>Cek_F!P123</f>
        <v/>
      </c>
      <c r="T103" s="11" t="str">
        <f>Cek_F!Q123</f>
        <v/>
      </c>
      <c r="U103" s="11" t="str">
        <f>Cek_F!R123</f>
        <v/>
      </c>
      <c r="V103" s="11" t="str">
        <f>Cek_F!S123</f>
        <v/>
      </c>
      <c r="W103" s="11" t="str">
        <f>Cek_F!T123</f>
        <v/>
      </c>
      <c r="X103" s="11" t="str">
        <f>Cek_F!U123</f>
        <v/>
      </c>
      <c r="Y103" s="11" t="str">
        <f>Cek_F!V123</f>
        <v/>
      </c>
      <c r="Z103" s="11" t="str">
        <f>Cek_F!W123</f>
        <v/>
      </c>
      <c r="AA103" s="11" t="str">
        <f>Cek_F!X123</f>
        <v/>
      </c>
      <c r="AB103" s="11" t="str">
        <f>Cek_F!Y123</f>
        <v/>
      </c>
    </row>
    <row r="104" spans="8:8">
      <c r="A104" s="7">
        <v>102.0</v>
      </c>
      <c r="B104" s="7" t="s">
        <v>1086</v>
      </c>
      <c r="C104" s="47" t="s">
        <v>1200</v>
      </c>
      <c r="D104" s="7" t="s">
        <v>728</v>
      </c>
      <c r="E104" s="48" t="s">
        <v>729</v>
      </c>
      <c r="F104" s="7">
        <v>20.0</v>
      </c>
      <c r="G104" s="9" t="str">
        <f>_xlfn.IFERROR(AVERAGE(H104:AB104)+ROW()*0.0000001,"")</f>
        <v/>
      </c>
      <c r="H104" s="11" t="str">
        <f>Cek_F!E129</f>
        <v/>
      </c>
      <c r="I104" s="11" t="str">
        <f>Cek_F!F129</f>
        <v/>
      </c>
      <c r="J104" s="11" t="str">
        <f>Cek_F!G129</f>
        <v/>
      </c>
      <c r="K104" s="11" t="str">
        <f>Cek_F!H129</f>
        <v/>
      </c>
      <c r="L104" s="11" t="str">
        <f>Cek_F!I129</f>
        <v/>
      </c>
      <c r="M104" s="11" t="str">
        <f>Cek_F!J129</f>
        <v/>
      </c>
      <c r="N104" s="11" t="str">
        <f>Cek_F!K129</f>
        <v/>
      </c>
      <c r="O104" s="11" t="str">
        <f>Cek_F!L129</f>
        <v/>
      </c>
      <c r="P104" s="11" t="str">
        <f>Cek_F!M129</f>
        <v/>
      </c>
      <c r="Q104" s="11" t="str">
        <f>Cek_F!N129</f>
        <v/>
      </c>
      <c r="R104" s="11" t="str">
        <f>Cek_F!O129</f>
        <v/>
      </c>
      <c r="S104" s="11" t="str">
        <f>Cek_F!P129</f>
        <v/>
      </c>
      <c r="T104" s="11" t="str">
        <f>Cek_F!Q129</f>
        <v/>
      </c>
      <c r="U104" s="11" t="str">
        <f>Cek_F!R129</f>
        <v/>
      </c>
      <c r="V104" s="11" t="str">
        <f>Cek_F!S129</f>
        <v/>
      </c>
      <c r="W104" s="11" t="str">
        <f>Cek_F!T129</f>
        <v/>
      </c>
      <c r="X104" s="11" t="str">
        <f>Cek_F!U129</f>
        <v/>
      </c>
      <c r="Y104" s="11" t="str">
        <f>Cek_F!V129</f>
        <v/>
      </c>
      <c r="Z104" s="11" t="str">
        <f>Cek_F!W129</f>
        <v/>
      </c>
      <c r="AA104" s="11" t="str">
        <f>Cek_F!X129</f>
        <v/>
      </c>
      <c r="AB104" s="11" t="str">
        <f>Cek_F!Y129</f>
        <v/>
      </c>
    </row>
    <row r="105" spans="8:8">
      <c r="A105" s="7">
        <v>103.0</v>
      </c>
      <c r="B105" s="7" t="s">
        <v>1086</v>
      </c>
      <c r="C105" s="47" t="s">
        <v>1200</v>
      </c>
      <c r="D105" s="7" t="s">
        <v>740</v>
      </c>
      <c r="E105" s="48" t="s">
        <v>741</v>
      </c>
      <c r="F105" s="7">
        <v>20.0</v>
      </c>
      <c r="G105" s="9" t="str">
        <f>_xlfn.IFERROR(AVERAGE(H105:AB105)+ROW()*0.0000001,"")</f>
        <v/>
      </c>
      <c r="H105" s="11" t="str">
        <f>Cek_F!E135</f>
        <v/>
      </c>
      <c r="I105" s="11" t="str">
        <f>Cek_F!F135</f>
        <v/>
      </c>
      <c r="J105" s="11" t="str">
        <f>Cek_F!G135</f>
        <v/>
      </c>
      <c r="K105" s="11" t="str">
        <f>Cek_F!H135</f>
        <v/>
      </c>
      <c r="L105" s="11" t="str">
        <f>Cek_F!I135</f>
        <v/>
      </c>
      <c r="M105" s="11" t="str">
        <f>Cek_F!J135</f>
        <v/>
      </c>
      <c r="N105" s="11" t="str">
        <f>Cek_F!K135</f>
        <v/>
      </c>
      <c r="O105" s="11" t="str">
        <f>Cek_F!L135</f>
        <v/>
      </c>
      <c r="P105" s="11" t="str">
        <f>Cek_F!M135</f>
        <v/>
      </c>
      <c r="Q105" s="11" t="str">
        <f>Cek_F!N135</f>
        <v/>
      </c>
      <c r="R105" s="11" t="str">
        <f>Cek_F!O135</f>
        <v/>
      </c>
      <c r="S105" s="11" t="str">
        <f>Cek_F!P135</f>
        <v/>
      </c>
      <c r="T105" s="11" t="str">
        <f>Cek_F!Q135</f>
        <v/>
      </c>
      <c r="U105" s="11" t="str">
        <f>Cek_F!R135</f>
        <v/>
      </c>
      <c r="V105" s="11" t="str">
        <f>Cek_F!S135</f>
        <v/>
      </c>
      <c r="W105" s="11" t="str">
        <f>Cek_F!T135</f>
        <v/>
      </c>
      <c r="X105" s="11" t="str">
        <f>Cek_F!U135</f>
        <v/>
      </c>
      <c r="Y105" s="11" t="str">
        <f>Cek_F!V135</f>
        <v/>
      </c>
      <c r="Z105" s="11" t="str">
        <f>Cek_F!W135</f>
        <v/>
      </c>
      <c r="AA105" s="11" t="str">
        <f>Cek_F!X135</f>
        <v/>
      </c>
      <c r="AB105" s="11" t="str">
        <f>Cek_F!Y135</f>
        <v/>
      </c>
    </row>
  </sheetData>
  <mergeCells count="1">
    <mergeCell ref="A1:G1"/>
  </mergeCells>
  <conditionalFormatting sqref="G3:G105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pageMargins left="0.75" right="0.75" top="1.0" bottom="1.0" header="0.5" footer="0.5"/>
</worksheet>
</file>

<file path=xl/worksheets/sheet13.xml><?xml version="1.0" encoding="utf-8"?>
<worksheet xmlns:r="http://schemas.openxmlformats.org/officeDocument/2006/relationships" xmlns="http://schemas.openxmlformats.org/spreadsheetml/2006/main">
  <dimension ref="A1:AB30"/>
  <sheetViews>
    <sheetView workbookViewId="0" showGridLines="0" zoomScale="90">
      <pane xSplit="6" ySplit="2" topLeftCell="G3" state="frozen" activePane="bottomRight"/>
      <selection pane="bottomRight" activeCell="A1" sqref="A1:F1"/>
    </sheetView>
  </sheetViews>
  <sheetFormatPr defaultRowHeight="15.0" defaultColWidth="10"/>
  <cols>
    <col min="1" max="1" customWidth="1" width="4.0" style="0"/>
    <col min="2" max="2" customWidth="1" width="9.0" style="0"/>
    <col min="3" max="3" customWidth="1" width="6.0" style="0"/>
    <col min="4" max="4" customWidth="1" width="46.0" style="0"/>
    <col min="5" max="5" customWidth="1" width="10.0" style="0"/>
    <col min="6" max="6" customWidth="1" width="10.0" style="0"/>
    <col min="7" max="7" customWidth="1" width="9.0" style="0"/>
    <col min="8" max="8" customWidth="1" width="9.0" style="0"/>
    <col min="9" max="9" customWidth="1" width="9.0" style="0"/>
    <col min="10" max="10" customWidth="1" width="9.0" style="0"/>
    <col min="11" max="11" customWidth="1" width="9.0" style="0"/>
    <col min="12" max="12" customWidth="1" width="9.0" style="0"/>
    <col min="13" max="13" customWidth="1" width="9.0" style="0"/>
    <col min="14" max="14" customWidth="1" width="9.0" style="0"/>
    <col min="15" max="15" customWidth="1" width="9.0" style="0"/>
    <col min="16" max="16" customWidth="1" width="9.0" style="0"/>
    <col min="17" max="17" customWidth="1" width="9.0" style="0"/>
    <col min="18" max="18" customWidth="1" width="9.0" style="0"/>
    <col min="19" max="19" customWidth="1" width="9.0" style="0"/>
    <col min="20" max="20" customWidth="1" width="9.0" style="0"/>
    <col min="21" max="21" customWidth="1" width="9.0" style="0"/>
    <col min="22" max="22" customWidth="1" width="9.0" style="0"/>
    <col min="23" max="23" customWidth="1" width="9.0" style="0"/>
    <col min="24" max="24" customWidth="1" width="9.0" style="0"/>
    <col min="25" max="25" customWidth="1" width="9.0" style="0"/>
    <col min="26" max="26" customWidth="1" width="9.0" style="0"/>
    <col min="27" max="27" customWidth="1" width="9.0" style="0"/>
  </cols>
  <sheetData>
    <row r="1" spans="8:8" ht="26.0" customHeight="1">
      <c r="A1" s="1" t="s">
        <v>1056</v>
      </c>
    </row>
    <row r="2" spans="8:8" ht="30.0" customHeight="1">
      <c r="A2" s="6" t="s">
        <v>31</v>
      </c>
      <c r="B2" s="6" t="s">
        <v>24</v>
      </c>
      <c r="C2" s="6" t="s">
        <v>27</v>
      </c>
      <c r="D2" s="6" t="s">
        <v>26</v>
      </c>
      <c r="E2" s="6" t="s">
        <v>1057</v>
      </c>
      <c r="F2" s="6" t="s">
        <v>1058</v>
      </c>
      <c r="G2" s="46" t="s">
        <v>34</v>
      </c>
      <c r="H2" s="46" t="s">
        <v>35</v>
      </c>
      <c r="I2" s="46" t="s">
        <v>36</v>
      </c>
      <c r="J2" s="46" t="s">
        <v>37</v>
      </c>
      <c r="K2" s="46" t="s">
        <v>38</v>
      </c>
      <c r="L2" s="46" t="s">
        <v>39</v>
      </c>
      <c r="M2" s="46" t="s">
        <v>40</v>
      </c>
      <c r="N2" s="46" t="s">
        <v>41</v>
      </c>
      <c r="O2" s="46" t="s">
        <v>42</v>
      </c>
      <c r="P2" s="46" t="s">
        <v>43</v>
      </c>
      <c r="Q2" s="46" t="s">
        <v>44</v>
      </c>
      <c r="R2" s="46" t="s">
        <v>45</v>
      </c>
      <c r="S2" s="46" t="s">
        <v>46</v>
      </c>
      <c r="T2" s="46" t="s">
        <v>47</v>
      </c>
      <c r="U2" s="46" t="s">
        <v>48</v>
      </c>
      <c r="V2" s="46" t="s">
        <v>49</v>
      </c>
      <c r="W2" s="46" t="s">
        <v>50</v>
      </c>
      <c r="X2" s="46" t="s">
        <v>51</v>
      </c>
      <c r="Y2" s="46" t="s">
        <v>52</v>
      </c>
      <c r="Z2" s="46" t="s">
        <v>53</v>
      </c>
      <c r="AA2" s="46" t="s">
        <v>54</v>
      </c>
    </row>
    <row r="3" spans="8:8">
      <c r="A3" s="7">
        <v>1.0</v>
      </c>
      <c r="B3" s="7" t="s">
        <v>1059</v>
      </c>
      <c r="C3" s="7" t="s">
        <v>12</v>
      </c>
      <c r="D3" s="48" t="s">
        <v>1060</v>
      </c>
      <c r="E3" s="7">
        <v>20.0</v>
      </c>
      <c r="F3" s="9" t="str">
        <f>_xlfn.IFERROR(AVERAGE(G3:AA3)+ROW()*0.0000001,"")</f>
        <v/>
      </c>
      <c r="G3" s="11" t="str">
        <f>Cek_A!E35</f>
        <v/>
      </c>
      <c r="H3" s="11" t="str">
        <f>Cek_A!F35</f>
        <v/>
      </c>
      <c r="I3" s="11" t="str">
        <f>Cek_A!G35</f>
        <v/>
      </c>
      <c r="J3" s="11" t="str">
        <f>Cek_A!H35</f>
        <v/>
      </c>
      <c r="K3" s="11" t="str">
        <f>Cek_A!I35</f>
        <v/>
      </c>
      <c r="L3" s="11" t="str">
        <f>Cek_A!J35</f>
        <v/>
      </c>
      <c r="M3" s="11" t="str">
        <f>Cek_A!K35</f>
        <v/>
      </c>
      <c r="N3" s="11" t="str">
        <f>Cek_A!L35</f>
        <v/>
      </c>
      <c r="O3" s="11" t="str">
        <f>Cek_A!M35</f>
        <v/>
      </c>
      <c r="P3" s="11" t="str">
        <f>Cek_A!N35</f>
        <v/>
      </c>
      <c r="Q3" s="11" t="str">
        <f>Cek_A!O35</f>
        <v/>
      </c>
      <c r="R3" s="11" t="str">
        <f>Cek_A!P35</f>
        <v/>
      </c>
      <c r="S3" s="11" t="str">
        <f>Cek_A!Q35</f>
        <v/>
      </c>
      <c r="T3" s="11" t="str">
        <f>Cek_A!R35</f>
        <v/>
      </c>
      <c r="U3" s="11" t="str">
        <f>Cek_A!S35</f>
        <v/>
      </c>
      <c r="V3" s="11" t="str">
        <f>Cek_A!T35</f>
        <v/>
      </c>
      <c r="W3" s="11" t="str">
        <f>Cek_A!U35</f>
        <v/>
      </c>
      <c r="X3" s="11" t="str">
        <f>Cek_A!V35</f>
        <v/>
      </c>
      <c r="Y3" s="11" t="str">
        <f>Cek_A!W35</f>
        <v/>
      </c>
      <c r="Z3" s="11" t="str">
        <f>Cek_A!X35</f>
        <v/>
      </c>
      <c r="AA3" s="11" t="str">
        <f>Cek_A!Y35</f>
        <v/>
      </c>
    </row>
    <row r="4" spans="8:8">
      <c r="A4" s="7">
        <v>2.0</v>
      </c>
      <c r="B4" s="7" t="s">
        <v>1059</v>
      </c>
      <c r="C4" s="7" t="s">
        <v>12</v>
      </c>
      <c r="D4" s="48" t="s">
        <v>1061</v>
      </c>
      <c r="E4" s="7">
        <v>20.0</v>
      </c>
      <c r="F4" s="9" t="str">
        <f>_xlfn.IFERROR(AVERAGE(G4:AA4)+ROW()*0.0000001,"")</f>
        <v/>
      </c>
      <c r="G4" s="11" t="str">
        <f>Cek_A!E67</f>
        <v/>
      </c>
      <c r="H4" s="11" t="str">
        <f>Cek_A!F67</f>
        <v/>
      </c>
      <c r="I4" s="11" t="str">
        <f>Cek_A!G67</f>
        <v/>
      </c>
      <c r="J4" s="11" t="str">
        <f>Cek_A!H67</f>
        <v/>
      </c>
      <c r="K4" s="11" t="str">
        <f>Cek_A!I67</f>
        <v/>
      </c>
      <c r="L4" s="11" t="str">
        <f>Cek_A!J67</f>
        <v/>
      </c>
      <c r="M4" s="11" t="str">
        <f>Cek_A!K67</f>
        <v/>
      </c>
      <c r="N4" s="11" t="str">
        <f>Cek_A!L67</f>
        <v/>
      </c>
      <c r="O4" s="11" t="str">
        <f>Cek_A!M67</f>
        <v/>
      </c>
      <c r="P4" s="11" t="str">
        <f>Cek_A!N67</f>
        <v/>
      </c>
      <c r="Q4" s="11" t="str">
        <f>Cek_A!O67</f>
        <v/>
      </c>
      <c r="R4" s="11" t="str">
        <f>Cek_A!P67</f>
        <v/>
      </c>
      <c r="S4" s="11" t="str">
        <f>Cek_A!Q67</f>
        <v/>
      </c>
      <c r="T4" s="11" t="str">
        <f>Cek_A!R67</f>
        <v/>
      </c>
      <c r="U4" s="11" t="str">
        <f>Cek_A!S67</f>
        <v/>
      </c>
      <c r="V4" s="11" t="str">
        <f>Cek_A!T67</f>
        <v/>
      </c>
      <c r="W4" s="11" t="str">
        <f>Cek_A!U67</f>
        <v/>
      </c>
      <c r="X4" s="11" t="str">
        <f>Cek_A!V67</f>
        <v/>
      </c>
      <c r="Y4" s="11" t="str">
        <f>Cek_A!W67</f>
        <v/>
      </c>
      <c r="Z4" s="11" t="str">
        <f>Cek_A!X67</f>
        <v/>
      </c>
      <c r="AA4" s="11" t="str">
        <f>Cek_A!Y67</f>
        <v/>
      </c>
    </row>
    <row r="5" spans="8:8">
      <c r="A5" s="7">
        <v>3.0</v>
      </c>
      <c r="B5" s="7" t="s">
        <v>1059</v>
      </c>
      <c r="C5" s="7" t="s">
        <v>12</v>
      </c>
      <c r="D5" s="48" t="s">
        <v>1062</v>
      </c>
      <c r="E5" s="7">
        <v>20.0</v>
      </c>
      <c r="F5" s="9" t="str">
        <f>_xlfn.IFERROR(AVERAGE(G5:AA5)+ROW()*0.0000001,"")</f>
        <v/>
      </c>
      <c r="G5" s="11" t="str">
        <f>Cek_A!E99</f>
        <v/>
      </c>
      <c r="H5" s="11" t="str">
        <f>Cek_A!F99</f>
        <v/>
      </c>
      <c r="I5" s="11" t="str">
        <f>Cek_A!G99</f>
        <v/>
      </c>
      <c r="J5" s="11" t="str">
        <f>Cek_A!H99</f>
        <v/>
      </c>
      <c r="K5" s="11" t="str">
        <f>Cek_A!I99</f>
        <v/>
      </c>
      <c r="L5" s="11" t="str">
        <f>Cek_A!J99</f>
        <v/>
      </c>
      <c r="M5" s="11" t="str">
        <f>Cek_A!K99</f>
        <v/>
      </c>
      <c r="N5" s="11" t="str">
        <f>Cek_A!L99</f>
        <v/>
      </c>
      <c r="O5" s="11" t="str">
        <f>Cek_A!M99</f>
        <v/>
      </c>
      <c r="P5" s="11" t="str">
        <f>Cek_A!N99</f>
        <v/>
      </c>
      <c r="Q5" s="11" t="str">
        <f>Cek_A!O99</f>
        <v/>
      </c>
      <c r="R5" s="11" t="str">
        <f>Cek_A!P99</f>
        <v/>
      </c>
      <c r="S5" s="11" t="str">
        <f>Cek_A!Q99</f>
        <v/>
      </c>
      <c r="T5" s="11" t="str">
        <f>Cek_A!R99</f>
        <v/>
      </c>
      <c r="U5" s="11" t="str">
        <f>Cek_A!S99</f>
        <v/>
      </c>
      <c r="V5" s="11" t="str">
        <f>Cek_A!T99</f>
        <v/>
      </c>
      <c r="W5" s="11" t="str">
        <f>Cek_A!U99</f>
        <v/>
      </c>
      <c r="X5" s="11" t="str">
        <f>Cek_A!V99</f>
        <v/>
      </c>
      <c r="Y5" s="11" t="str">
        <f>Cek_A!W99</f>
        <v/>
      </c>
      <c r="Z5" s="11" t="str">
        <f>Cek_A!X99</f>
        <v/>
      </c>
      <c r="AA5" s="11" t="str">
        <f>Cek_A!Y99</f>
        <v/>
      </c>
    </row>
    <row r="6" spans="8:8">
      <c r="A6" s="7">
        <v>4.0</v>
      </c>
      <c r="B6" s="7" t="s">
        <v>1059</v>
      </c>
      <c r="C6" s="7" t="s">
        <v>12</v>
      </c>
      <c r="D6" s="48" t="s">
        <v>1063</v>
      </c>
      <c r="E6" s="7">
        <v>20.0</v>
      </c>
      <c r="F6" s="9" t="str">
        <f>_xlfn.IFERROR(AVERAGE(G6:AA6)+ROW()*0.0000001,"")</f>
        <v/>
      </c>
      <c r="G6" s="11" t="str">
        <f>Cek_A!E131</f>
        <v/>
      </c>
      <c r="H6" s="11" t="str">
        <f>Cek_A!F131</f>
        <v/>
      </c>
      <c r="I6" s="11" t="str">
        <f>Cek_A!G131</f>
        <v/>
      </c>
      <c r="J6" s="11" t="str">
        <f>Cek_A!H131</f>
        <v/>
      </c>
      <c r="K6" s="11" t="str">
        <f>Cek_A!I131</f>
        <v/>
      </c>
      <c r="L6" s="11" t="str">
        <f>Cek_A!J131</f>
        <v/>
      </c>
      <c r="M6" s="11" t="str">
        <f>Cek_A!K131</f>
        <v/>
      </c>
      <c r="N6" s="11" t="str">
        <f>Cek_A!L131</f>
        <v/>
      </c>
      <c r="O6" s="11" t="str">
        <f>Cek_A!M131</f>
        <v/>
      </c>
      <c r="P6" s="11" t="str">
        <f>Cek_A!N131</f>
        <v/>
      </c>
      <c r="Q6" s="11" t="str">
        <f>Cek_A!O131</f>
        <v/>
      </c>
      <c r="R6" s="11" t="str">
        <f>Cek_A!P131</f>
        <v/>
      </c>
      <c r="S6" s="11" t="str">
        <f>Cek_A!Q131</f>
        <v/>
      </c>
      <c r="T6" s="11" t="str">
        <f>Cek_A!R131</f>
        <v/>
      </c>
      <c r="U6" s="11" t="str">
        <f>Cek_A!S131</f>
        <v/>
      </c>
      <c r="V6" s="11" t="str">
        <f>Cek_A!T131</f>
        <v/>
      </c>
      <c r="W6" s="11" t="str">
        <f>Cek_A!U131</f>
        <v/>
      </c>
      <c r="X6" s="11" t="str">
        <f>Cek_A!V131</f>
        <v/>
      </c>
      <c r="Y6" s="11" t="str">
        <f>Cek_A!W131</f>
        <v/>
      </c>
      <c r="Z6" s="11" t="str">
        <f>Cek_A!X131</f>
        <v/>
      </c>
      <c r="AA6" s="11" t="str">
        <f>Cek_A!Y131</f>
        <v/>
      </c>
    </row>
    <row r="7" spans="8:8">
      <c r="A7" s="7">
        <v>5.0</v>
      </c>
      <c r="B7" s="7" t="s">
        <v>1059</v>
      </c>
      <c r="C7" s="7" t="s">
        <v>12</v>
      </c>
      <c r="D7" s="48" t="s">
        <v>1064</v>
      </c>
      <c r="E7" s="7">
        <v>20.0</v>
      </c>
      <c r="F7" s="9" t="str">
        <f>_xlfn.IFERROR(AVERAGE(G7:AA7)+ROW()*0.0000001,"")</f>
        <v/>
      </c>
      <c r="G7" s="11" t="str">
        <f>Cek_A!E163</f>
        <v/>
      </c>
      <c r="H7" s="11" t="str">
        <f>Cek_A!F163</f>
        <v/>
      </c>
      <c r="I7" s="11" t="str">
        <f>Cek_A!G163</f>
        <v/>
      </c>
      <c r="J7" s="11" t="str">
        <f>Cek_A!H163</f>
        <v/>
      </c>
      <c r="K7" s="11" t="str">
        <f>Cek_A!I163</f>
        <v/>
      </c>
      <c r="L7" s="11" t="str">
        <f>Cek_A!J163</f>
        <v/>
      </c>
      <c r="M7" s="11" t="str">
        <f>Cek_A!K163</f>
        <v/>
      </c>
      <c r="N7" s="11" t="str">
        <f>Cek_A!L163</f>
        <v/>
      </c>
      <c r="O7" s="11" t="str">
        <f>Cek_A!M163</f>
        <v/>
      </c>
      <c r="P7" s="11" t="str">
        <f>Cek_A!N163</f>
        <v/>
      </c>
      <c r="Q7" s="11" t="str">
        <f>Cek_A!O163</f>
        <v/>
      </c>
      <c r="R7" s="11" t="str">
        <f>Cek_A!P163</f>
        <v/>
      </c>
      <c r="S7" s="11" t="str">
        <f>Cek_A!Q163</f>
        <v/>
      </c>
      <c r="T7" s="11" t="str">
        <f>Cek_A!R163</f>
        <v/>
      </c>
      <c r="U7" s="11" t="str">
        <f>Cek_A!S163</f>
        <v/>
      </c>
      <c r="V7" s="11" t="str">
        <f>Cek_A!T163</f>
        <v/>
      </c>
      <c r="W7" s="11" t="str">
        <f>Cek_A!U163</f>
        <v/>
      </c>
      <c r="X7" s="11" t="str">
        <f>Cek_A!V163</f>
        <v/>
      </c>
      <c r="Y7" s="11" t="str">
        <f>Cek_A!W163</f>
        <v/>
      </c>
      <c r="Z7" s="11" t="str">
        <f>Cek_A!X163</f>
        <v/>
      </c>
      <c r="AA7" s="11" t="str">
        <f>Cek_A!Y163</f>
        <v/>
      </c>
    </row>
    <row r="8" spans="8:8">
      <c r="A8" s="7">
        <v>6.0</v>
      </c>
      <c r="B8" s="7" t="s">
        <v>1065</v>
      </c>
      <c r="C8" s="7" t="s">
        <v>14</v>
      </c>
      <c r="D8" s="48" t="s">
        <v>1066</v>
      </c>
      <c r="E8" s="7">
        <v>33.0</v>
      </c>
      <c r="F8" s="9" t="str">
        <f>_xlfn.IFERROR(AVERAGE(G8:AA8)+ROW()*0.0000001,"")</f>
        <v/>
      </c>
      <c r="G8" s="11" t="str">
        <f>Cek_B!E35</f>
        <v/>
      </c>
      <c r="H8" s="11" t="str">
        <f>Cek_B!F35</f>
        <v/>
      </c>
      <c r="I8" s="11" t="str">
        <f>Cek_B!G35</f>
        <v/>
      </c>
      <c r="J8" s="11" t="str">
        <f>Cek_B!H35</f>
        <v/>
      </c>
      <c r="K8" s="11" t="str">
        <f>Cek_B!I35</f>
        <v/>
      </c>
      <c r="L8" s="11" t="str">
        <f>Cek_B!J35</f>
        <v/>
      </c>
      <c r="M8" s="11" t="str">
        <f>Cek_B!K35</f>
        <v/>
      </c>
      <c r="N8" s="11" t="str">
        <f>Cek_B!L35</f>
        <v/>
      </c>
      <c r="O8" s="11" t="str">
        <f>Cek_B!M35</f>
        <v/>
      </c>
      <c r="P8" s="11" t="str">
        <f>Cek_B!N35</f>
        <v/>
      </c>
      <c r="Q8" s="11" t="str">
        <f>Cek_B!O35</f>
        <v/>
      </c>
      <c r="R8" s="11" t="str">
        <f>Cek_B!P35</f>
        <v/>
      </c>
      <c r="S8" s="11" t="str">
        <f>Cek_B!Q35</f>
        <v/>
      </c>
      <c r="T8" s="11" t="str">
        <f>Cek_B!R35</f>
        <v/>
      </c>
      <c r="U8" s="11" t="str">
        <f>Cek_B!S35</f>
        <v/>
      </c>
      <c r="V8" s="11" t="str">
        <f>Cek_B!T35</f>
        <v/>
      </c>
      <c r="W8" s="11" t="str">
        <f>Cek_B!U35</f>
        <v/>
      </c>
      <c r="X8" s="11" t="str">
        <f>Cek_B!V35</f>
        <v/>
      </c>
      <c r="Y8" s="11" t="str">
        <f>Cek_B!W35</f>
        <v/>
      </c>
      <c r="Z8" s="11" t="str">
        <f>Cek_B!X35</f>
        <v/>
      </c>
      <c r="AA8" s="11" t="str">
        <f>Cek_B!Y35</f>
        <v/>
      </c>
    </row>
    <row r="9" spans="8:8">
      <c r="A9" s="7">
        <v>7.0</v>
      </c>
      <c r="B9" s="7" t="s">
        <v>1065</v>
      </c>
      <c r="C9" s="7" t="s">
        <v>14</v>
      </c>
      <c r="D9" s="48" t="s">
        <v>1067</v>
      </c>
      <c r="E9" s="7">
        <v>33.0</v>
      </c>
      <c r="F9" s="9" t="str">
        <f>_xlfn.IFERROR(AVERAGE(G9:AA9)+ROW()*0.0000001,"")</f>
        <v/>
      </c>
      <c r="G9" s="11" t="str">
        <f>Cek_B!E67</f>
        <v/>
      </c>
      <c r="H9" s="11" t="str">
        <f>Cek_B!F67</f>
        <v/>
      </c>
      <c r="I9" s="11" t="str">
        <f>Cek_B!G67</f>
        <v/>
      </c>
      <c r="J9" s="11" t="str">
        <f>Cek_B!H67</f>
        <v/>
      </c>
      <c r="K9" s="11" t="str">
        <f>Cek_B!I67</f>
        <v/>
      </c>
      <c r="L9" s="11" t="str">
        <f>Cek_B!J67</f>
        <v/>
      </c>
      <c r="M9" s="11" t="str">
        <f>Cek_B!K67</f>
        <v/>
      </c>
      <c r="N9" s="11" t="str">
        <f>Cek_B!L67</f>
        <v/>
      </c>
      <c r="O9" s="11" t="str">
        <f>Cek_B!M67</f>
        <v/>
      </c>
      <c r="P9" s="11" t="str">
        <f>Cek_B!N67</f>
        <v/>
      </c>
      <c r="Q9" s="11" t="str">
        <f>Cek_B!O67</f>
        <v/>
      </c>
      <c r="R9" s="11" t="str">
        <f>Cek_B!P67</f>
        <v/>
      </c>
      <c r="S9" s="11" t="str">
        <f>Cek_B!Q67</f>
        <v/>
      </c>
      <c r="T9" s="11" t="str">
        <f>Cek_B!R67</f>
        <v/>
      </c>
      <c r="U9" s="11" t="str">
        <f>Cek_B!S67</f>
        <v/>
      </c>
      <c r="V9" s="11" t="str">
        <f>Cek_B!T67</f>
        <v/>
      </c>
      <c r="W9" s="11" t="str">
        <f>Cek_B!U67</f>
        <v/>
      </c>
      <c r="X9" s="11" t="str">
        <f>Cek_B!V67</f>
        <v/>
      </c>
      <c r="Y9" s="11" t="str">
        <f>Cek_B!W67</f>
        <v/>
      </c>
      <c r="Z9" s="11" t="str">
        <f>Cek_B!X67</f>
        <v/>
      </c>
      <c r="AA9" s="11" t="str">
        <f>Cek_B!Y67</f>
        <v/>
      </c>
    </row>
    <row r="10" spans="8:8">
      <c r="A10" s="7">
        <v>8.0</v>
      </c>
      <c r="B10" s="7" t="s">
        <v>1065</v>
      </c>
      <c r="C10" s="7" t="s">
        <v>15</v>
      </c>
      <c r="D10" s="48" t="s">
        <v>1068</v>
      </c>
      <c r="E10" s="7">
        <v>20.0</v>
      </c>
      <c r="F10" s="9" t="str">
        <f>_xlfn.IFERROR(AVERAGE(G10:AA10)+ROW()*0.0000001,"")</f>
        <v/>
      </c>
      <c r="G10" s="11" t="str">
        <f>Cek_B!E87</f>
        <v/>
      </c>
      <c r="H10" s="11" t="str">
        <f>Cek_B!F87</f>
        <v/>
      </c>
      <c r="I10" s="11" t="str">
        <f>Cek_B!G87</f>
        <v/>
      </c>
      <c r="J10" s="11" t="str">
        <f>Cek_B!H87</f>
        <v/>
      </c>
      <c r="K10" s="11" t="str">
        <f>Cek_B!I87</f>
        <v/>
      </c>
      <c r="L10" s="11" t="str">
        <f>Cek_B!J87</f>
        <v/>
      </c>
      <c r="M10" s="11" t="str">
        <f>Cek_B!K87</f>
        <v/>
      </c>
      <c r="N10" s="11" t="str">
        <f>Cek_B!L87</f>
        <v/>
      </c>
      <c r="O10" s="11" t="str">
        <f>Cek_B!M87</f>
        <v/>
      </c>
      <c r="P10" s="11" t="str">
        <f>Cek_B!N87</f>
        <v/>
      </c>
      <c r="Q10" s="11" t="str">
        <f>Cek_B!O87</f>
        <v/>
      </c>
      <c r="R10" s="11" t="str">
        <f>Cek_B!P87</f>
        <v/>
      </c>
      <c r="S10" s="11" t="str">
        <f>Cek_B!Q87</f>
        <v/>
      </c>
      <c r="T10" s="11" t="str">
        <f>Cek_B!R87</f>
        <v/>
      </c>
      <c r="U10" s="11" t="str">
        <f>Cek_B!S87</f>
        <v/>
      </c>
      <c r="V10" s="11" t="str">
        <f>Cek_B!T87</f>
        <v/>
      </c>
      <c r="W10" s="11" t="str">
        <f>Cek_B!U87</f>
        <v/>
      </c>
      <c r="X10" s="11" t="str">
        <f>Cek_B!V87</f>
        <v/>
      </c>
      <c r="Y10" s="11" t="str">
        <f>Cek_B!W87</f>
        <v/>
      </c>
      <c r="Z10" s="11" t="str">
        <f>Cek_B!X87</f>
        <v/>
      </c>
      <c r="AA10" s="11" t="str">
        <f>Cek_B!Y87</f>
        <v/>
      </c>
    </row>
    <row r="11" spans="8:8">
      <c r="A11" s="7">
        <v>9.0</v>
      </c>
      <c r="B11" s="7" t="s">
        <v>1065</v>
      </c>
      <c r="C11" s="7" t="s">
        <v>16</v>
      </c>
      <c r="D11" s="48" t="s">
        <v>1069</v>
      </c>
      <c r="E11" s="7">
        <v>100.0</v>
      </c>
      <c r="F11" s="9" t="str">
        <f>_xlfn.IFERROR(AVERAGE(G11:AA11)+ROW()*0.0000001,"")</f>
        <v/>
      </c>
      <c r="G11" s="11" t="str">
        <f>Cek_B!E101</f>
        <v/>
      </c>
      <c r="H11" s="11" t="str">
        <f>Cek_B!F101</f>
        <v/>
      </c>
      <c r="I11" s="11" t="str">
        <f>Cek_B!G101</f>
        <v/>
      </c>
      <c r="J11" s="11" t="str">
        <f>Cek_B!H101</f>
        <v/>
      </c>
      <c r="K11" s="11" t="str">
        <f>Cek_B!I101</f>
        <v/>
      </c>
      <c r="L11" s="11" t="str">
        <f>Cek_B!J101</f>
        <v/>
      </c>
      <c r="M11" s="11" t="str">
        <f>Cek_B!K101</f>
        <v/>
      </c>
      <c r="N11" s="11" t="str">
        <f>Cek_B!L101</f>
        <v/>
      </c>
      <c r="O11" s="11" t="str">
        <f>Cek_B!M101</f>
        <v/>
      </c>
      <c r="P11" s="11" t="str">
        <f>Cek_B!N101</f>
        <v/>
      </c>
      <c r="Q11" s="11" t="str">
        <f>Cek_B!O101</f>
        <v/>
      </c>
      <c r="R11" s="11" t="str">
        <f>Cek_B!P101</f>
        <v/>
      </c>
      <c r="S11" s="11" t="str">
        <f>Cek_B!Q101</f>
        <v/>
      </c>
      <c r="T11" s="11" t="str">
        <f>Cek_B!R101</f>
        <v/>
      </c>
      <c r="U11" s="11" t="str">
        <f>Cek_B!S101</f>
        <v/>
      </c>
      <c r="V11" s="11" t="str">
        <f>Cek_B!T101</f>
        <v/>
      </c>
      <c r="W11" s="11" t="str">
        <f>Cek_B!U101</f>
        <v/>
      </c>
      <c r="X11" s="11" t="str">
        <f>Cek_B!V101</f>
        <v/>
      </c>
      <c r="Y11" s="11" t="str">
        <f>Cek_B!W101</f>
        <v/>
      </c>
      <c r="Z11" s="11" t="str">
        <f>Cek_B!X101</f>
        <v/>
      </c>
      <c r="AA11" s="11" t="str">
        <f>Cek_B!Y101</f>
        <v/>
      </c>
    </row>
    <row r="12" spans="8:8">
      <c r="A12" s="7">
        <v>10.0</v>
      </c>
      <c r="B12" s="7" t="s">
        <v>1070</v>
      </c>
      <c r="C12" s="7" t="s">
        <v>13</v>
      </c>
      <c r="D12" s="48" t="s">
        <v>1071</v>
      </c>
      <c r="E12" s="7">
        <v>25.0</v>
      </c>
      <c r="F12" s="9" t="str">
        <f>_xlfn.IFERROR(AVERAGE(G12:AA12)+ROW()*0.0000001,"")</f>
        <v/>
      </c>
      <c r="G12" s="11" t="str">
        <f>Cek_C!E29</f>
        <v/>
      </c>
      <c r="H12" s="11" t="str">
        <f>Cek_C!F29</f>
        <v/>
      </c>
      <c r="I12" s="11" t="str">
        <f>Cek_C!G29</f>
        <v/>
      </c>
      <c r="J12" s="11" t="str">
        <f>Cek_C!H29</f>
        <v/>
      </c>
      <c r="K12" s="11" t="str">
        <f>Cek_C!I29</f>
        <v/>
      </c>
      <c r="L12" s="11" t="str">
        <f>Cek_C!J29</f>
        <v/>
      </c>
      <c r="M12" s="11" t="str">
        <f>Cek_C!K29</f>
        <v/>
      </c>
      <c r="N12" s="11" t="str">
        <f>Cek_C!L29</f>
        <v/>
      </c>
      <c r="O12" s="11" t="str">
        <f>Cek_C!M29</f>
        <v/>
      </c>
      <c r="P12" s="11" t="str">
        <f>Cek_C!N29</f>
        <v/>
      </c>
      <c r="Q12" s="11" t="str">
        <f>Cek_C!O29</f>
        <v/>
      </c>
      <c r="R12" s="11" t="str">
        <f>Cek_C!P29</f>
        <v/>
      </c>
      <c r="S12" s="11" t="str">
        <f>Cek_C!Q29</f>
        <v/>
      </c>
      <c r="T12" s="11" t="str">
        <f>Cek_C!R29</f>
        <v/>
      </c>
      <c r="U12" s="11" t="str">
        <f>Cek_C!S29</f>
        <v/>
      </c>
      <c r="V12" s="11" t="str">
        <f>Cek_C!T29</f>
        <v/>
      </c>
      <c r="W12" s="11" t="str">
        <f>Cek_C!U29</f>
        <v/>
      </c>
      <c r="X12" s="11" t="str">
        <f>Cek_C!V29</f>
        <v/>
      </c>
      <c r="Y12" s="11" t="str">
        <f>Cek_C!W29</f>
        <v/>
      </c>
      <c r="Z12" s="11" t="str">
        <f>Cek_C!X29</f>
        <v/>
      </c>
      <c r="AA12" s="11" t="str">
        <f>Cek_C!Y29</f>
        <v/>
      </c>
    </row>
    <row r="13" spans="8:8">
      <c r="A13" s="7">
        <v>11.0</v>
      </c>
      <c r="B13" s="7" t="s">
        <v>1070</v>
      </c>
      <c r="C13" s="7" t="s">
        <v>13</v>
      </c>
      <c r="D13" s="48" t="s">
        <v>1072</v>
      </c>
      <c r="E13" s="7">
        <v>18.75</v>
      </c>
      <c r="F13" s="9" t="str">
        <f>_xlfn.IFERROR(AVERAGE(G13:AA13)+ROW()*0.0000001,"")</f>
        <v/>
      </c>
      <c r="G13" s="11" t="str">
        <f>Cek_C!E49</f>
        <v/>
      </c>
      <c r="H13" s="11" t="str">
        <f>Cek_C!F49</f>
        <v/>
      </c>
      <c r="I13" s="11" t="str">
        <f>Cek_C!G49</f>
        <v/>
      </c>
      <c r="J13" s="11" t="str">
        <f>Cek_C!H49</f>
        <v/>
      </c>
      <c r="K13" s="11" t="str">
        <f>Cek_C!I49</f>
        <v/>
      </c>
      <c r="L13" s="11" t="str">
        <f>Cek_C!J49</f>
        <v/>
      </c>
      <c r="M13" s="11" t="str">
        <f>Cek_C!K49</f>
        <v/>
      </c>
      <c r="N13" s="11" t="str">
        <f>Cek_C!L49</f>
        <v/>
      </c>
      <c r="O13" s="11" t="str">
        <f>Cek_C!M49</f>
        <v/>
      </c>
      <c r="P13" s="11" t="str">
        <f>Cek_C!N49</f>
        <v/>
      </c>
      <c r="Q13" s="11" t="str">
        <f>Cek_C!O49</f>
        <v/>
      </c>
      <c r="R13" s="11" t="str">
        <f>Cek_C!P49</f>
        <v/>
      </c>
      <c r="S13" s="11" t="str">
        <f>Cek_C!Q49</f>
        <v/>
      </c>
      <c r="T13" s="11" t="str">
        <f>Cek_C!R49</f>
        <v/>
      </c>
      <c r="U13" s="11" t="str">
        <f>Cek_C!S49</f>
        <v/>
      </c>
      <c r="V13" s="11" t="str">
        <f>Cek_C!T49</f>
        <v/>
      </c>
      <c r="W13" s="11" t="str">
        <f>Cek_C!U49</f>
        <v/>
      </c>
      <c r="X13" s="11" t="str">
        <f>Cek_C!V49</f>
        <v/>
      </c>
      <c r="Y13" s="11" t="str">
        <f>Cek_C!W49</f>
        <v/>
      </c>
      <c r="Z13" s="11" t="str">
        <f>Cek_C!X49</f>
        <v/>
      </c>
      <c r="AA13" s="11" t="str">
        <f>Cek_C!Y49</f>
        <v/>
      </c>
    </row>
    <row r="14" spans="8:8">
      <c r="A14" s="7">
        <v>12.0</v>
      </c>
      <c r="B14" s="7" t="s">
        <v>1070</v>
      </c>
      <c r="C14" s="7" t="s">
        <v>13</v>
      </c>
      <c r="D14" s="48" t="s">
        <v>1073</v>
      </c>
      <c r="E14" s="7">
        <v>18.75</v>
      </c>
      <c r="F14" s="9" t="str">
        <f>_xlfn.IFERROR(AVERAGE(G14:AA14)+ROW()*0.0000001,"")</f>
        <v/>
      </c>
      <c r="G14" s="11" t="str">
        <f>Cek_C!E69</f>
        <v/>
      </c>
      <c r="H14" s="11" t="str">
        <f>Cek_C!F69</f>
        <v/>
      </c>
      <c r="I14" s="11" t="str">
        <f>Cek_C!G69</f>
        <v/>
      </c>
      <c r="J14" s="11" t="str">
        <f>Cek_C!H69</f>
        <v/>
      </c>
      <c r="K14" s="11" t="str">
        <f>Cek_C!I69</f>
        <v/>
      </c>
      <c r="L14" s="11" t="str">
        <f>Cek_C!J69</f>
        <v/>
      </c>
      <c r="M14" s="11" t="str">
        <f>Cek_C!K69</f>
        <v/>
      </c>
      <c r="N14" s="11" t="str">
        <f>Cek_C!L69</f>
        <v/>
      </c>
      <c r="O14" s="11" t="str">
        <f>Cek_C!M69</f>
        <v/>
      </c>
      <c r="P14" s="11" t="str">
        <f>Cek_C!N69</f>
        <v/>
      </c>
      <c r="Q14" s="11" t="str">
        <f>Cek_C!O69</f>
        <v/>
      </c>
      <c r="R14" s="11" t="str">
        <f>Cek_C!P69</f>
        <v/>
      </c>
      <c r="S14" s="11" t="str">
        <f>Cek_C!Q69</f>
        <v/>
      </c>
      <c r="T14" s="11" t="str">
        <f>Cek_C!R69</f>
        <v/>
      </c>
      <c r="U14" s="11" t="str">
        <f>Cek_C!S69</f>
        <v/>
      </c>
      <c r="V14" s="11" t="str">
        <f>Cek_C!T69</f>
        <v/>
      </c>
      <c r="W14" s="11" t="str">
        <f>Cek_C!U69</f>
        <v/>
      </c>
      <c r="X14" s="11" t="str">
        <f>Cek_C!V69</f>
        <v/>
      </c>
      <c r="Y14" s="11" t="str">
        <f>Cek_C!W69</f>
        <v/>
      </c>
      <c r="Z14" s="11" t="str">
        <f>Cek_C!X69</f>
        <v/>
      </c>
      <c r="AA14" s="11" t="str">
        <f>Cek_C!Y69</f>
        <v/>
      </c>
    </row>
    <row r="15" spans="8:8">
      <c r="A15" s="7">
        <v>13.0</v>
      </c>
      <c r="B15" s="7" t="s">
        <v>1070</v>
      </c>
      <c r="C15" s="7" t="s">
        <v>13</v>
      </c>
      <c r="D15" s="48" t="s">
        <v>1074</v>
      </c>
      <c r="E15" s="7">
        <v>12.5</v>
      </c>
      <c r="F15" s="9" t="str">
        <f>_xlfn.IFERROR(AVERAGE(G15:AA15)+ROW()*0.0000001,"")</f>
        <v/>
      </c>
      <c r="G15" s="11" t="str">
        <f>Cek_C!E83</f>
        <v/>
      </c>
      <c r="H15" s="11" t="str">
        <f>Cek_C!F83</f>
        <v/>
      </c>
      <c r="I15" s="11" t="str">
        <f>Cek_C!G83</f>
        <v/>
      </c>
      <c r="J15" s="11" t="str">
        <f>Cek_C!H83</f>
        <v/>
      </c>
      <c r="K15" s="11" t="str">
        <f>Cek_C!I83</f>
        <v/>
      </c>
      <c r="L15" s="11" t="str">
        <f>Cek_C!J83</f>
        <v/>
      </c>
      <c r="M15" s="11" t="str">
        <f>Cek_C!K83</f>
        <v/>
      </c>
      <c r="N15" s="11" t="str">
        <f>Cek_C!L83</f>
        <v/>
      </c>
      <c r="O15" s="11" t="str">
        <f>Cek_C!M83</f>
        <v/>
      </c>
      <c r="P15" s="11" t="str">
        <f>Cek_C!N83</f>
        <v/>
      </c>
      <c r="Q15" s="11" t="str">
        <f>Cek_C!O83</f>
        <v/>
      </c>
      <c r="R15" s="11" t="str">
        <f>Cek_C!P83</f>
        <v/>
      </c>
      <c r="S15" s="11" t="str">
        <f>Cek_C!Q83</f>
        <v/>
      </c>
      <c r="T15" s="11" t="str">
        <f>Cek_C!R83</f>
        <v/>
      </c>
      <c r="U15" s="11" t="str">
        <f>Cek_C!S83</f>
        <v/>
      </c>
      <c r="V15" s="11" t="str">
        <f>Cek_C!T83</f>
        <v/>
      </c>
      <c r="W15" s="11" t="str">
        <f>Cek_C!U83</f>
        <v/>
      </c>
      <c r="X15" s="11" t="str">
        <f>Cek_C!V83</f>
        <v/>
      </c>
      <c r="Y15" s="11" t="str">
        <f>Cek_C!W83</f>
        <v/>
      </c>
      <c r="Z15" s="11" t="str">
        <f>Cek_C!X83</f>
        <v/>
      </c>
      <c r="AA15" s="11" t="str">
        <f>Cek_C!Y83</f>
        <v/>
      </c>
    </row>
    <row r="16" spans="8:8">
      <c r="A16" s="7">
        <v>14.0</v>
      </c>
      <c r="B16" s="7" t="s">
        <v>1075</v>
      </c>
      <c r="C16" s="7" t="s">
        <v>15</v>
      </c>
      <c r="D16" s="48" t="s">
        <v>1076</v>
      </c>
      <c r="E16" s="7">
        <v>40.0</v>
      </c>
      <c r="F16" s="9" t="str">
        <f>_xlfn.IFERROR(AVERAGE(G16:AA16)+ROW()*0.0000001,"")</f>
        <v/>
      </c>
      <c r="G16" s="11" t="str">
        <f>Cek_D!E29</f>
        <v/>
      </c>
      <c r="H16" s="11" t="str">
        <f>Cek_D!F29</f>
        <v/>
      </c>
      <c r="I16" s="11" t="str">
        <f>Cek_D!G29</f>
        <v/>
      </c>
      <c r="J16" s="11" t="str">
        <f>Cek_D!H29</f>
        <v/>
      </c>
      <c r="K16" s="11" t="str">
        <f>Cek_D!I29</f>
        <v/>
      </c>
      <c r="L16" s="11" t="str">
        <f>Cek_D!J29</f>
        <v/>
      </c>
      <c r="M16" s="11" t="str">
        <f>Cek_D!K29</f>
        <v/>
      </c>
      <c r="N16" s="11" t="str">
        <f>Cek_D!L29</f>
        <v/>
      </c>
      <c r="O16" s="11" t="str">
        <f>Cek_D!M29</f>
        <v/>
      </c>
      <c r="P16" s="11" t="str">
        <f>Cek_D!N29</f>
        <v/>
      </c>
      <c r="Q16" s="11" t="str">
        <f>Cek_D!O29</f>
        <v/>
      </c>
      <c r="R16" s="11" t="str">
        <f>Cek_D!P29</f>
        <v/>
      </c>
      <c r="S16" s="11" t="str">
        <f>Cek_D!Q29</f>
        <v/>
      </c>
      <c r="T16" s="11" t="str">
        <f>Cek_D!R29</f>
        <v/>
      </c>
      <c r="U16" s="11" t="str">
        <f>Cek_D!S29</f>
        <v/>
      </c>
      <c r="V16" s="11" t="str">
        <f>Cek_D!T29</f>
        <v/>
      </c>
      <c r="W16" s="11" t="str">
        <f>Cek_D!U29</f>
        <v/>
      </c>
      <c r="X16" s="11" t="str">
        <f>Cek_D!V29</f>
        <v/>
      </c>
      <c r="Y16" s="11" t="str">
        <f>Cek_D!W29</f>
        <v/>
      </c>
      <c r="Z16" s="11" t="str">
        <f>Cek_D!X29</f>
        <v/>
      </c>
      <c r="AA16" s="11" t="str">
        <f>Cek_D!Y29</f>
        <v/>
      </c>
    </row>
    <row r="17" spans="8:8">
      <c r="A17" s="7">
        <v>15.0</v>
      </c>
      <c r="B17" s="7" t="s">
        <v>1075</v>
      </c>
      <c r="C17" s="7" t="s">
        <v>15</v>
      </c>
      <c r="D17" s="48" t="s">
        <v>1077</v>
      </c>
      <c r="E17" s="7">
        <v>30.0</v>
      </c>
      <c r="F17" s="9" t="str">
        <f>_xlfn.IFERROR(AVERAGE(G17:AA17)+ROW()*0.0000001,"")</f>
        <v/>
      </c>
      <c r="G17" s="11" t="str">
        <f>Cek_D!E49</f>
        <v/>
      </c>
      <c r="H17" s="11" t="str">
        <f>Cek_D!F49</f>
        <v/>
      </c>
      <c r="I17" s="11" t="str">
        <f>Cek_D!G49</f>
        <v/>
      </c>
      <c r="J17" s="11" t="str">
        <f>Cek_D!H49</f>
        <v/>
      </c>
      <c r="K17" s="11" t="str">
        <f>Cek_D!I49</f>
        <v/>
      </c>
      <c r="L17" s="11" t="str">
        <f>Cek_D!J49</f>
        <v/>
      </c>
      <c r="M17" s="11" t="str">
        <f>Cek_D!K49</f>
        <v/>
      </c>
      <c r="N17" s="11" t="str">
        <f>Cek_D!L49</f>
        <v/>
      </c>
      <c r="O17" s="11" t="str">
        <f>Cek_D!M49</f>
        <v/>
      </c>
      <c r="P17" s="11" t="str">
        <f>Cek_D!N49</f>
        <v/>
      </c>
      <c r="Q17" s="11" t="str">
        <f>Cek_D!O49</f>
        <v/>
      </c>
      <c r="R17" s="11" t="str">
        <f>Cek_D!P49</f>
        <v/>
      </c>
      <c r="S17" s="11" t="str">
        <f>Cek_D!Q49</f>
        <v/>
      </c>
      <c r="T17" s="11" t="str">
        <f>Cek_D!R49</f>
        <v/>
      </c>
      <c r="U17" s="11" t="str">
        <f>Cek_D!S49</f>
        <v/>
      </c>
      <c r="V17" s="11" t="str">
        <f>Cek_D!T49</f>
        <v/>
      </c>
      <c r="W17" s="11" t="str">
        <f>Cek_D!U49</f>
        <v/>
      </c>
      <c r="X17" s="11" t="str">
        <f>Cek_D!V49</f>
        <v/>
      </c>
      <c r="Y17" s="11" t="str">
        <f>Cek_D!W49</f>
        <v/>
      </c>
      <c r="Z17" s="11" t="str">
        <f>Cek_D!X49</f>
        <v/>
      </c>
      <c r="AA17" s="11" t="str">
        <f>Cek_D!Y49</f>
        <v/>
      </c>
    </row>
    <row r="18" spans="8:8">
      <c r="A18" s="7">
        <v>16.0</v>
      </c>
      <c r="B18" s="7" t="s">
        <v>1075</v>
      </c>
      <c r="C18" s="7" t="s">
        <v>15</v>
      </c>
      <c r="D18" s="48" t="s">
        <v>1078</v>
      </c>
      <c r="E18" s="7">
        <v>30.0</v>
      </c>
      <c r="F18" s="9" t="str">
        <f>_xlfn.IFERROR(AVERAGE(G18:AA18)+ROW()*0.0000001,"")</f>
        <v/>
      </c>
      <c r="G18" s="11" t="str">
        <f>Cek_D!E69</f>
        <v/>
      </c>
      <c r="H18" s="11" t="str">
        <f>Cek_D!F69</f>
        <v/>
      </c>
      <c r="I18" s="11" t="str">
        <f>Cek_D!G69</f>
        <v/>
      </c>
      <c r="J18" s="11" t="str">
        <f>Cek_D!H69</f>
        <v/>
      </c>
      <c r="K18" s="11" t="str">
        <f>Cek_D!I69</f>
        <v/>
      </c>
      <c r="L18" s="11" t="str">
        <f>Cek_D!J69</f>
        <v/>
      </c>
      <c r="M18" s="11" t="str">
        <f>Cek_D!K69</f>
        <v/>
      </c>
      <c r="N18" s="11" t="str">
        <f>Cek_D!L69</f>
        <v/>
      </c>
      <c r="O18" s="11" t="str">
        <f>Cek_D!M69</f>
        <v/>
      </c>
      <c r="P18" s="11" t="str">
        <f>Cek_D!N69</f>
        <v/>
      </c>
      <c r="Q18" s="11" t="str">
        <f>Cek_D!O69</f>
        <v/>
      </c>
      <c r="R18" s="11" t="str">
        <f>Cek_D!P69</f>
        <v/>
      </c>
      <c r="S18" s="11" t="str">
        <f>Cek_D!Q69</f>
        <v/>
      </c>
      <c r="T18" s="11" t="str">
        <f>Cek_D!R69</f>
        <v/>
      </c>
      <c r="U18" s="11" t="str">
        <f>Cek_D!S69</f>
        <v/>
      </c>
      <c r="V18" s="11" t="str">
        <f>Cek_D!T69</f>
        <v/>
      </c>
      <c r="W18" s="11" t="str">
        <f>Cek_D!U69</f>
        <v/>
      </c>
      <c r="X18" s="11" t="str">
        <f>Cek_D!V69</f>
        <v/>
      </c>
      <c r="Y18" s="11" t="str">
        <f>Cek_D!W69</f>
        <v/>
      </c>
      <c r="Z18" s="11" t="str">
        <f>Cek_D!X69</f>
        <v/>
      </c>
      <c r="AA18" s="11" t="str">
        <f>Cek_D!Y69</f>
        <v/>
      </c>
    </row>
    <row r="19" spans="8:8">
      <c r="A19" s="7">
        <v>17.0</v>
      </c>
      <c r="B19" s="7" t="s">
        <v>1079</v>
      </c>
      <c r="C19" s="7" t="s">
        <v>17</v>
      </c>
      <c r="D19" s="48" t="s">
        <v>1080</v>
      </c>
      <c r="E19" s="7">
        <v>20.0</v>
      </c>
      <c r="F19" s="9" t="str">
        <f>_xlfn.IFERROR(AVERAGE(G19:AA19)+ROW()*0.0000001,"")</f>
        <v/>
      </c>
      <c r="G19" s="11" t="str">
        <f>Cek_E!E23</f>
        <v/>
      </c>
      <c r="H19" s="11" t="str">
        <f>Cek_E!F23</f>
        <v/>
      </c>
      <c r="I19" s="11" t="str">
        <f>Cek_E!G23</f>
        <v/>
      </c>
      <c r="J19" s="11" t="str">
        <f>Cek_E!H23</f>
        <v/>
      </c>
      <c r="K19" s="11" t="str">
        <f>Cek_E!I23</f>
        <v/>
      </c>
      <c r="L19" s="11" t="str">
        <f>Cek_E!J23</f>
        <v/>
      </c>
      <c r="M19" s="11" t="str">
        <f>Cek_E!K23</f>
        <v/>
      </c>
      <c r="N19" s="11" t="str">
        <f>Cek_E!L23</f>
        <v/>
      </c>
      <c r="O19" s="11" t="str">
        <f>Cek_E!M23</f>
        <v/>
      </c>
      <c r="P19" s="11" t="str">
        <f>Cek_E!N23</f>
        <v/>
      </c>
      <c r="Q19" s="11" t="str">
        <f>Cek_E!O23</f>
        <v/>
      </c>
      <c r="R19" s="11" t="str">
        <f>Cek_E!P23</f>
        <v/>
      </c>
      <c r="S19" s="11" t="str">
        <f>Cek_E!Q23</f>
        <v/>
      </c>
      <c r="T19" s="11" t="str">
        <f>Cek_E!R23</f>
        <v/>
      </c>
      <c r="U19" s="11" t="str">
        <f>Cek_E!S23</f>
        <v/>
      </c>
      <c r="V19" s="11" t="str">
        <f>Cek_E!T23</f>
        <v/>
      </c>
      <c r="W19" s="11" t="str">
        <f>Cek_E!U23</f>
        <v/>
      </c>
      <c r="X19" s="11" t="str">
        <f>Cek_E!V23</f>
        <v/>
      </c>
      <c r="Y19" s="11" t="str">
        <f>Cek_E!W23</f>
        <v/>
      </c>
      <c r="Z19" s="11" t="str">
        <f>Cek_E!X23</f>
        <v/>
      </c>
      <c r="AA19" s="11" t="str">
        <f>Cek_E!Y23</f>
        <v/>
      </c>
    </row>
    <row r="20" spans="8:8">
      <c r="A20" s="7">
        <v>18.0</v>
      </c>
      <c r="B20" s="7" t="s">
        <v>1079</v>
      </c>
      <c r="C20" s="7" t="s">
        <v>17</v>
      </c>
      <c r="D20" s="48" t="s">
        <v>1081</v>
      </c>
      <c r="E20" s="7">
        <v>20.0</v>
      </c>
      <c r="F20" s="9" t="str">
        <f>_xlfn.IFERROR(AVERAGE(G20:AA20)+ROW()*0.0000001,"")</f>
        <v/>
      </c>
      <c r="G20" s="11" t="str">
        <f>Cek_E!E43</f>
        <v/>
      </c>
      <c r="H20" s="11" t="str">
        <f>Cek_E!F43</f>
        <v/>
      </c>
      <c r="I20" s="11" t="str">
        <f>Cek_E!G43</f>
        <v/>
      </c>
      <c r="J20" s="11" t="str">
        <f>Cek_E!H43</f>
        <v/>
      </c>
      <c r="K20" s="11" t="str">
        <f>Cek_E!I43</f>
        <v/>
      </c>
      <c r="L20" s="11" t="str">
        <f>Cek_E!J43</f>
        <v/>
      </c>
      <c r="M20" s="11" t="str">
        <f>Cek_E!K43</f>
        <v/>
      </c>
      <c r="N20" s="11" t="str">
        <f>Cek_E!L43</f>
        <v/>
      </c>
      <c r="O20" s="11" t="str">
        <f>Cek_E!M43</f>
        <v/>
      </c>
      <c r="P20" s="11" t="str">
        <f>Cek_E!N43</f>
        <v/>
      </c>
      <c r="Q20" s="11" t="str">
        <f>Cek_E!O43</f>
        <v/>
      </c>
      <c r="R20" s="11" t="str">
        <f>Cek_E!P43</f>
        <v/>
      </c>
      <c r="S20" s="11" t="str">
        <f>Cek_E!Q43</f>
        <v/>
      </c>
      <c r="T20" s="11" t="str">
        <f>Cek_E!R43</f>
        <v/>
      </c>
      <c r="U20" s="11" t="str">
        <f>Cek_E!S43</f>
        <v/>
      </c>
      <c r="V20" s="11" t="str">
        <f>Cek_E!T43</f>
        <v/>
      </c>
      <c r="W20" s="11" t="str">
        <f>Cek_E!U43</f>
        <v/>
      </c>
      <c r="X20" s="11" t="str">
        <f>Cek_E!V43</f>
        <v/>
      </c>
      <c r="Y20" s="11" t="str">
        <f>Cek_E!W43</f>
        <v/>
      </c>
      <c r="Z20" s="11" t="str">
        <f>Cek_E!X43</f>
        <v/>
      </c>
      <c r="AA20" s="11" t="str">
        <f>Cek_E!Y43</f>
        <v/>
      </c>
    </row>
    <row r="21" spans="8:8">
      <c r="A21" s="7">
        <v>19.0</v>
      </c>
      <c r="B21" s="7" t="s">
        <v>1079</v>
      </c>
      <c r="C21" s="7" t="s">
        <v>17</v>
      </c>
      <c r="D21" s="48" t="s">
        <v>1082</v>
      </c>
      <c r="E21" s="7">
        <v>20.0</v>
      </c>
      <c r="F21" s="9" t="str">
        <f>_xlfn.IFERROR(AVERAGE(G21:AA21)+ROW()*0.0000001,"")</f>
        <v/>
      </c>
      <c r="G21" s="11" t="str">
        <f>Cek_E!E63</f>
        <v/>
      </c>
      <c r="H21" s="11" t="str">
        <f>Cek_E!F63</f>
        <v/>
      </c>
      <c r="I21" s="11" t="str">
        <f>Cek_E!G63</f>
        <v/>
      </c>
      <c r="J21" s="11" t="str">
        <f>Cek_E!H63</f>
        <v/>
      </c>
      <c r="K21" s="11" t="str">
        <f>Cek_E!I63</f>
        <v/>
      </c>
      <c r="L21" s="11" t="str">
        <f>Cek_E!J63</f>
        <v/>
      </c>
      <c r="M21" s="11" t="str">
        <f>Cek_E!K63</f>
        <v/>
      </c>
      <c r="N21" s="11" t="str">
        <f>Cek_E!L63</f>
        <v/>
      </c>
      <c r="O21" s="11" t="str">
        <f>Cek_E!M63</f>
        <v/>
      </c>
      <c r="P21" s="11" t="str">
        <f>Cek_E!N63</f>
        <v/>
      </c>
      <c r="Q21" s="11" t="str">
        <f>Cek_E!O63</f>
        <v/>
      </c>
      <c r="R21" s="11" t="str">
        <f>Cek_E!P63</f>
        <v/>
      </c>
      <c r="S21" s="11" t="str">
        <f>Cek_E!Q63</f>
        <v/>
      </c>
      <c r="T21" s="11" t="str">
        <f>Cek_E!R63</f>
        <v/>
      </c>
      <c r="U21" s="11" t="str">
        <f>Cek_E!S63</f>
        <v/>
      </c>
      <c r="V21" s="11" t="str">
        <f>Cek_E!T63</f>
        <v/>
      </c>
      <c r="W21" s="11" t="str">
        <f>Cek_E!U63</f>
        <v/>
      </c>
      <c r="X21" s="11" t="str">
        <f>Cek_E!V63</f>
        <v/>
      </c>
      <c r="Y21" s="11" t="str">
        <f>Cek_E!W63</f>
        <v/>
      </c>
      <c r="Z21" s="11" t="str">
        <f>Cek_E!X63</f>
        <v/>
      </c>
      <c r="AA21" s="11" t="str">
        <f>Cek_E!Y63</f>
        <v/>
      </c>
    </row>
    <row r="22" spans="8:8">
      <c r="A22" s="7">
        <v>20.0</v>
      </c>
      <c r="B22" s="7" t="s">
        <v>1079</v>
      </c>
      <c r="C22" s="7" t="s">
        <v>17</v>
      </c>
      <c r="D22" s="48" t="s">
        <v>1083</v>
      </c>
      <c r="E22" s="7">
        <v>20.0</v>
      </c>
      <c r="F22" s="9" t="str">
        <f>_xlfn.IFERROR(AVERAGE(G22:AA22)+ROW()*0.0000001,"")</f>
        <v/>
      </c>
      <c r="G22" s="11" t="str">
        <f>Cek_E!E89</f>
        <v/>
      </c>
      <c r="H22" s="11" t="str">
        <f>Cek_E!F89</f>
        <v/>
      </c>
      <c r="I22" s="11" t="str">
        <f>Cek_E!G89</f>
        <v/>
      </c>
      <c r="J22" s="11" t="str">
        <f>Cek_E!H89</f>
        <v/>
      </c>
      <c r="K22" s="11" t="str">
        <f>Cek_E!I89</f>
        <v/>
      </c>
      <c r="L22" s="11" t="str">
        <f>Cek_E!J89</f>
        <v/>
      </c>
      <c r="M22" s="11" t="str">
        <f>Cek_E!K89</f>
        <v/>
      </c>
      <c r="N22" s="11" t="str">
        <f>Cek_E!L89</f>
        <v/>
      </c>
      <c r="O22" s="11" t="str">
        <f>Cek_E!M89</f>
        <v/>
      </c>
      <c r="P22" s="11" t="str">
        <f>Cek_E!N89</f>
        <v/>
      </c>
      <c r="Q22" s="11" t="str">
        <f>Cek_E!O89</f>
        <v/>
      </c>
      <c r="R22" s="11" t="str">
        <f>Cek_E!P89</f>
        <v/>
      </c>
      <c r="S22" s="11" t="str">
        <f>Cek_E!Q89</f>
        <v/>
      </c>
      <c r="T22" s="11" t="str">
        <f>Cek_E!R89</f>
        <v/>
      </c>
      <c r="U22" s="11" t="str">
        <f>Cek_E!S89</f>
        <v/>
      </c>
      <c r="V22" s="11" t="str">
        <f>Cek_E!T89</f>
        <v/>
      </c>
      <c r="W22" s="11" t="str">
        <f>Cek_E!U89</f>
        <v/>
      </c>
      <c r="X22" s="11" t="str">
        <f>Cek_E!V89</f>
        <v/>
      </c>
      <c r="Y22" s="11" t="str">
        <f>Cek_E!W89</f>
        <v/>
      </c>
      <c r="Z22" s="11" t="str">
        <f>Cek_E!X89</f>
        <v/>
      </c>
      <c r="AA22" s="11" t="str">
        <f>Cek_E!Y89</f>
        <v/>
      </c>
    </row>
    <row r="23" spans="8:8">
      <c r="A23" s="7">
        <v>21.0</v>
      </c>
      <c r="B23" s="7" t="s">
        <v>1079</v>
      </c>
      <c r="C23" s="7" t="s">
        <v>17</v>
      </c>
      <c r="D23" s="48" t="s">
        <v>1084</v>
      </c>
      <c r="E23" s="7">
        <v>20.0</v>
      </c>
      <c r="F23" s="9" t="str">
        <f>_xlfn.IFERROR(AVERAGE(G23:AA23)+ROW()*0.0000001,"")</f>
        <v/>
      </c>
      <c r="G23" s="11" t="str">
        <f>Cek_E!E103</f>
        <v/>
      </c>
      <c r="H23" s="11" t="str">
        <f>Cek_E!F103</f>
        <v/>
      </c>
      <c r="I23" s="11" t="str">
        <f>Cek_E!G103</f>
        <v/>
      </c>
      <c r="J23" s="11" t="str">
        <f>Cek_E!H103</f>
        <v/>
      </c>
      <c r="K23" s="11" t="str">
        <f>Cek_E!I103</f>
        <v/>
      </c>
      <c r="L23" s="11" t="str">
        <f>Cek_E!J103</f>
        <v/>
      </c>
      <c r="M23" s="11" t="str">
        <f>Cek_E!K103</f>
        <v/>
      </c>
      <c r="N23" s="11" t="str">
        <f>Cek_E!L103</f>
        <v/>
      </c>
      <c r="O23" s="11" t="str">
        <f>Cek_E!M103</f>
        <v/>
      </c>
      <c r="P23" s="11" t="str">
        <f>Cek_E!N103</f>
        <v/>
      </c>
      <c r="Q23" s="11" t="str">
        <f>Cek_E!O103</f>
        <v/>
      </c>
      <c r="R23" s="11" t="str">
        <f>Cek_E!P103</f>
        <v/>
      </c>
      <c r="S23" s="11" t="str">
        <f>Cek_E!Q103</f>
        <v/>
      </c>
      <c r="T23" s="11" t="str">
        <f>Cek_E!R103</f>
        <v/>
      </c>
      <c r="U23" s="11" t="str">
        <f>Cek_E!S103</f>
        <v/>
      </c>
      <c r="V23" s="11" t="str">
        <f>Cek_E!T103</f>
        <v/>
      </c>
      <c r="W23" s="11" t="str">
        <f>Cek_E!U103</f>
        <v/>
      </c>
      <c r="X23" s="11" t="str">
        <f>Cek_E!V103</f>
        <v/>
      </c>
      <c r="Y23" s="11" t="str">
        <f>Cek_E!W103</f>
        <v/>
      </c>
      <c r="Z23" s="11" t="str">
        <f>Cek_E!X103</f>
        <v/>
      </c>
      <c r="AA23" s="11" t="str">
        <f>Cek_E!Y103</f>
        <v/>
      </c>
    </row>
    <row r="24" spans="8:8">
      <c r="A24" s="7">
        <v>22.0</v>
      </c>
      <c r="B24" s="7" t="s">
        <v>1079</v>
      </c>
      <c r="C24" s="7" t="s">
        <v>17</v>
      </c>
      <c r="D24" s="48" t="s">
        <v>1085</v>
      </c>
      <c r="E24" s="7">
        <v>100.0</v>
      </c>
      <c r="F24" s="9" t="str">
        <f>_xlfn.IFERROR(AVERAGE(G24:AA24)+ROW()*0.0000001,"")</f>
        <v/>
      </c>
      <c r="G24" s="11" t="str">
        <f>Cek_E!E135</f>
        <v/>
      </c>
      <c r="H24" s="11" t="str">
        <f>Cek_E!F135</f>
        <v/>
      </c>
      <c r="I24" s="11" t="str">
        <f>Cek_E!G135</f>
        <v/>
      </c>
      <c r="J24" s="11" t="str">
        <f>Cek_E!H135</f>
        <v/>
      </c>
      <c r="K24" s="11" t="str">
        <f>Cek_E!I135</f>
        <v/>
      </c>
      <c r="L24" s="11" t="str">
        <f>Cek_E!J135</f>
        <v/>
      </c>
      <c r="M24" s="11" t="str">
        <f>Cek_E!K135</f>
        <v/>
      </c>
      <c r="N24" s="11" t="str">
        <f>Cek_E!L135</f>
        <v/>
      </c>
      <c r="O24" s="11" t="str">
        <f>Cek_E!M135</f>
        <v/>
      </c>
      <c r="P24" s="11" t="str">
        <f>Cek_E!N135</f>
        <v/>
      </c>
      <c r="Q24" s="11" t="str">
        <f>Cek_E!O135</f>
        <v/>
      </c>
      <c r="R24" s="11" t="str">
        <f>Cek_E!P135</f>
        <v/>
      </c>
      <c r="S24" s="11" t="str">
        <f>Cek_E!Q135</f>
        <v/>
      </c>
      <c r="T24" s="11" t="str">
        <f>Cek_E!R135</f>
        <v/>
      </c>
      <c r="U24" s="11" t="str">
        <f>Cek_E!S135</f>
        <v/>
      </c>
      <c r="V24" s="11" t="str">
        <f>Cek_E!T135</f>
        <v/>
      </c>
      <c r="W24" s="11" t="str">
        <f>Cek_E!U135</f>
        <v/>
      </c>
      <c r="X24" s="11" t="str">
        <f>Cek_E!V135</f>
        <v/>
      </c>
      <c r="Y24" s="11" t="str">
        <f>Cek_E!W135</f>
        <v/>
      </c>
      <c r="Z24" s="11" t="str">
        <f>Cek_E!X135</f>
        <v/>
      </c>
      <c r="AA24" s="11" t="str">
        <f>Cek_E!Y135</f>
        <v/>
      </c>
    </row>
    <row r="25" spans="8:8">
      <c r="A25" s="7">
        <v>23.0</v>
      </c>
      <c r="B25" s="7" t="s">
        <v>1086</v>
      </c>
      <c r="C25" s="7" t="s">
        <v>18</v>
      </c>
      <c r="D25" s="48" t="s">
        <v>1087</v>
      </c>
      <c r="E25" s="7">
        <v>20.0</v>
      </c>
      <c r="F25" s="9" t="str">
        <f>_xlfn.IFERROR(AVERAGE(G25:AA25)+ROW()*0.0000001,"")</f>
        <v/>
      </c>
      <c r="G25" s="11" t="str">
        <f>Cek_F!E29</f>
        <v/>
      </c>
      <c r="H25" s="11" t="str">
        <f>Cek_F!F29</f>
        <v/>
      </c>
      <c r="I25" s="11" t="str">
        <f>Cek_F!G29</f>
        <v/>
      </c>
      <c r="J25" s="11" t="str">
        <f>Cek_F!H29</f>
        <v/>
      </c>
      <c r="K25" s="11" t="str">
        <f>Cek_F!I29</f>
        <v/>
      </c>
      <c r="L25" s="11" t="str">
        <f>Cek_F!J29</f>
        <v/>
      </c>
      <c r="M25" s="11" t="str">
        <f>Cek_F!K29</f>
        <v/>
      </c>
      <c r="N25" s="11" t="str">
        <f>Cek_F!L29</f>
        <v/>
      </c>
      <c r="O25" s="11" t="str">
        <f>Cek_F!M29</f>
        <v/>
      </c>
      <c r="P25" s="11" t="str">
        <f>Cek_F!N29</f>
        <v/>
      </c>
      <c r="Q25" s="11" t="str">
        <f>Cek_F!O29</f>
        <v/>
      </c>
      <c r="R25" s="11" t="str">
        <f>Cek_F!P29</f>
        <v/>
      </c>
      <c r="S25" s="11" t="str">
        <f>Cek_F!Q29</f>
        <v/>
      </c>
      <c r="T25" s="11" t="str">
        <f>Cek_F!R29</f>
        <v/>
      </c>
      <c r="U25" s="11" t="str">
        <f>Cek_F!S29</f>
        <v/>
      </c>
      <c r="V25" s="11" t="str">
        <f>Cek_F!T29</f>
        <v/>
      </c>
      <c r="W25" s="11" t="str">
        <f>Cek_F!U29</f>
        <v/>
      </c>
      <c r="X25" s="11" t="str">
        <f>Cek_F!V29</f>
        <v/>
      </c>
      <c r="Y25" s="11" t="str">
        <f>Cek_F!W29</f>
        <v/>
      </c>
      <c r="Z25" s="11" t="str">
        <f>Cek_F!X29</f>
        <v/>
      </c>
      <c r="AA25" s="11" t="str">
        <f>Cek_F!Y29</f>
        <v/>
      </c>
    </row>
    <row r="26" spans="8:8">
      <c r="A26" s="7">
        <v>24.0</v>
      </c>
      <c r="B26" s="7" t="s">
        <v>1086</v>
      </c>
      <c r="C26" s="7" t="s">
        <v>18</v>
      </c>
      <c r="D26" s="48" t="s">
        <v>1088</v>
      </c>
      <c r="E26" s="7">
        <v>20.0</v>
      </c>
      <c r="F26" s="9" t="str">
        <f>_xlfn.IFERROR(AVERAGE(G26:AA26)+ROW()*0.0000001,"")</f>
        <v/>
      </c>
      <c r="G26" s="11" t="str">
        <f>Cek_F!E55</f>
        <v/>
      </c>
      <c r="H26" s="11" t="str">
        <f>Cek_F!F55</f>
        <v/>
      </c>
      <c r="I26" s="11" t="str">
        <f>Cek_F!G55</f>
        <v/>
      </c>
      <c r="J26" s="11" t="str">
        <f>Cek_F!H55</f>
        <v/>
      </c>
      <c r="K26" s="11" t="str">
        <f>Cek_F!I55</f>
        <v/>
      </c>
      <c r="L26" s="11" t="str">
        <f>Cek_F!J55</f>
        <v/>
      </c>
      <c r="M26" s="11" t="str">
        <f>Cek_F!K55</f>
        <v/>
      </c>
      <c r="N26" s="11" t="str">
        <f>Cek_F!L55</f>
        <v/>
      </c>
      <c r="O26" s="11" t="str">
        <f>Cek_F!M55</f>
        <v/>
      </c>
      <c r="P26" s="11" t="str">
        <f>Cek_F!N55</f>
        <v/>
      </c>
      <c r="Q26" s="11" t="str">
        <f>Cek_F!O55</f>
        <v/>
      </c>
      <c r="R26" s="11" t="str">
        <f>Cek_F!P55</f>
        <v/>
      </c>
      <c r="S26" s="11" t="str">
        <f>Cek_F!Q55</f>
        <v/>
      </c>
      <c r="T26" s="11" t="str">
        <f>Cek_F!R55</f>
        <v/>
      </c>
      <c r="U26" s="11" t="str">
        <f>Cek_F!S55</f>
        <v/>
      </c>
      <c r="V26" s="11" t="str">
        <f>Cek_F!T55</f>
        <v/>
      </c>
      <c r="W26" s="11" t="str">
        <f>Cek_F!U55</f>
        <v/>
      </c>
      <c r="X26" s="11" t="str">
        <f>Cek_F!V55</f>
        <v/>
      </c>
      <c r="Y26" s="11" t="str">
        <f>Cek_F!W55</f>
        <v/>
      </c>
      <c r="Z26" s="11" t="str">
        <f>Cek_F!X55</f>
        <v/>
      </c>
      <c r="AA26" s="11" t="str">
        <f>Cek_F!Y55</f>
        <v/>
      </c>
    </row>
    <row r="27" spans="8:8">
      <c r="A27" s="7">
        <v>25.0</v>
      </c>
      <c r="B27" s="7" t="s">
        <v>1086</v>
      </c>
      <c r="C27" s="7" t="s">
        <v>18</v>
      </c>
      <c r="D27" s="48" t="s">
        <v>1089</v>
      </c>
      <c r="E27" s="7">
        <v>20.0</v>
      </c>
      <c r="F27" s="9" t="str">
        <f>_xlfn.IFERROR(AVERAGE(G27:AA27)+ROW()*0.0000001,"")</f>
        <v/>
      </c>
      <c r="G27" s="11" t="str">
        <f>Cek_F!E75</f>
        <v/>
      </c>
      <c r="H27" s="11" t="str">
        <f>Cek_F!F75</f>
        <v/>
      </c>
      <c r="I27" s="11" t="str">
        <f>Cek_F!G75</f>
        <v/>
      </c>
      <c r="J27" s="11" t="str">
        <f>Cek_F!H75</f>
        <v/>
      </c>
      <c r="K27" s="11" t="str">
        <f>Cek_F!I75</f>
        <v/>
      </c>
      <c r="L27" s="11" t="str">
        <f>Cek_F!J75</f>
        <v/>
      </c>
      <c r="M27" s="11" t="str">
        <f>Cek_F!K75</f>
        <v/>
      </c>
      <c r="N27" s="11" t="str">
        <f>Cek_F!L75</f>
        <v/>
      </c>
      <c r="O27" s="11" t="str">
        <f>Cek_F!M75</f>
        <v/>
      </c>
      <c r="P27" s="11" t="str">
        <f>Cek_F!N75</f>
        <v/>
      </c>
      <c r="Q27" s="11" t="str">
        <f>Cek_F!O75</f>
        <v/>
      </c>
      <c r="R27" s="11" t="str">
        <f>Cek_F!P75</f>
        <v/>
      </c>
      <c r="S27" s="11" t="str">
        <f>Cek_F!Q75</f>
        <v/>
      </c>
      <c r="T27" s="11" t="str">
        <f>Cek_F!R75</f>
        <v/>
      </c>
      <c r="U27" s="11" t="str">
        <f>Cek_F!S75</f>
        <v/>
      </c>
      <c r="V27" s="11" t="str">
        <f>Cek_F!T75</f>
        <v/>
      </c>
      <c r="W27" s="11" t="str">
        <f>Cek_F!U75</f>
        <v/>
      </c>
      <c r="X27" s="11" t="str">
        <f>Cek_F!V75</f>
        <v/>
      </c>
      <c r="Y27" s="11" t="str">
        <f>Cek_F!W75</f>
        <v/>
      </c>
      <c r="Z27" s="11" t="str">
        <f>Cek_F!X75</f>
        <v/>
      </c>
      <c r="AA27" s="11" t="str">
        <f>Cek_F!Y75</f>
        <v/>
      </c>
    </row>
    <row r="28" spans="8:8">
      <c r="A28" s="7">
        <v>26.0</v>
      </c>
      <c r="B28" s="7" t="s">
        <v>1086</v>
      </c>
      <c r="C28" s="7" t="s">
        <v>18</v>
      </c>
      <c r="D28" s="48" t="s">
        <v>1090</v>
      </c>
      <c r="E28" s="7">
        <v>20.0</v>
      </c>
      <c r="F28" s="9" t="str">
        <f>_xlfn.IFERROR(AVERAGE(G28:AA28)+ROW()*0.0000001,"")</f>
        <v/>
      </c>
      <c r="G28" s="11" t="str">
        <f>Cek_F!E89</f>
        <v/>
      </c>
      <c r="H28" s="11" t="str">
        <f>Cek_F!F89</f>
        <v/>
      </c>
      <c r="I28" s="11" t="str">
        <f>Cek_F!G89</f>
        <v/>
      </c>
      <c r="J28" s="11" t="str">
        <f>Cek_F!H89</f>
        <v/>
      </c>
      <c r="K28" s="11" t="str">
        <f>Cek_F!I89</f>
        <v/>
      </c>
      <c r="L28" s="11" t="str">
        <f>Cek_F!J89</f>
        <v/>
      </c>
      <c r="M28" s="11" t="str">
        <f>Cek_F!K89</f>
        <v/>
      </c>
      <c r="N28" s="11" t="str">
        <f>Cek_F!L89</f>
        <v/>
      </c>
      <c r="O28" s="11" t="str">
        <f>Cek_F!M89</f>
        <v/>
      </c>
      <c r="P28" s="11" t="str">
        <f>Cek_F!N89</f>
        <v/>
      </c>
      <c r="Q28" s="11" t="str">
        <f>Cek_F!O89</f>
        <v/>
      </c>
      <c r="R28" s="11" t="str">
        <f>Cek_F!P89</f>
        <v/>
      </c>
      <c r="S28" s="11" t="str">
        <f>Cek_F!Q89</f>
        <v/>
      </c>
      <c r="T28" s="11" t="str">
        <f>Cek_F!R89</f>
        <v/>
      </c>
      <c r="U28" s="11" t="str">
        <f>Cek_F!S89</f>
        <v/>
      </c>
      <c r="V28" s="11" t="str">
        <f>Cek_F!T89</f>
        <v/>
      </c>
      <c r="W28" s="11" t="str">
        <f>Cek_F!U89</f>
        <v/>
      </c>
      <c r="X28" s="11" t="str">
        <f>Cek_F!V89</f>
        <v/>
      </c>
      <c r="Y28" s="11" t="str">
        <f>Cek_F!W89</f>
        <v/>
      </c>
      <c r="Z28" s="11" t="str">
        <f>Cek_F!X89</f>
        <v/>
      </c>
      <c r="AA28" s="11" t="str">
        <f>Cek_F!Y89</f>
        <v/>
      </c>
    </row>
    <row r="29" spans="8:8">
      <c r="A29" s="7">
        <v>27.0</v>
      </c>
      <c r="B29" s="7" t="s">
        <v>1086</v>
      </c>
      <c r="C29" s="7" t="s">
        <v>18</v>
      </c>
      <c r="D29" s="48" t="s">
        <v>1091</v>
      </c>
      <c r="E29" s="7">
        <v>20.0</v>
      </c>
      <c r="F29" s="9" t="str">
        <f>_xlfn.IFERROR(AVERAGE(G29:AA29)+ROW()*0.0000001,"")</f>
        <v/>
      </c>
      <c r="G29" s="11" t="str">
        <f>Cek_F!E109</f>
        <v/>
      </c>
      <c r="H29" s="11" t="str">
        <f>Cek_F!F109</f>
        <v/>
      </c>
      <c r="I29" s="11" t="str">
        <f>Cek_F!G109</f>
        <v/>
      </c>
      <c r="J29" s="11" t="str">
        <f>Cek_F!H109</f>
        <v/>
      </c>
      <c r="K29" s="11" t="str">
        <f>Cek_F!I109</f>
        <v/>
      </c>
      <c r="L29" s="11" t="str">
        <f>Cek_F!J109</f>
        <v/>
      </c>
      <c r="M29" s="11" t="str">
        <f>Cek_F!K109</f>
        <v/>
      </c>
      <c r="N29" s="11" t="str">
        <f>Cek_F!L109</f>
        <v/>
      </c>
      <c r="O29" s="11" t="str">
        <f>Cek_F!M109</f>
        <v/>
      </c>
      <c r="P29" s="11" t="str">
        <f>Cek_F!N109</f>
        <v/>
      </c>
      <c r="Q29" s="11" t="str">
        <f>Cek_F!O109</f>
        <v/>
      </c>
      <c r="R29" s="11" t="str">
        <f>Cek_F!P109</f>
        <v/>
      </c>
      <c r="S29" s="11" t="str">
        <f>Cek_F!Q109</f>
        <v/>
      </c>
      <c r="T29" s="11" t="str">
        <f>Cek_F!R109</f>
        <v/>
      </c>
      <c r="U29" s="11" t="str">
        <f>Cek_F!S109</f>
        <v/>
      </c>
      <c r="V29" s="11" t="str">
        <f>Cek_F!T109</f>
        <v/>
      </c>
      <c r="W29" s="11" t="str">
        <f>Cek_F!U109</f>
        <v/>
      </c>
      <c r="X29" s="11" t="str">
        <f>Cek_F!V109</f>
        <v/>
      </c>
      <c r="Y29" s="11" t="str">
        <f>Cek_F!W109</f>
        <v/>
      </c>
      <c r="Z29" s="11" t="str">
        <f>Cek_F!X109</f>
        <v/>
      </c>
      <c r="AA29" s="11" t="str">
        <f>Cek_F!Y109</f>
        <v/>
      </c>
    </row>
    <row r="30" spans="8:8">
      <c r="A30" s="7">
        <v>28.0</v>
      </c>
      <c r="B30" s="7" t="s">
        <v>1086</v>
      </c>
      <c r="C30" s="7" t="s">
        <v>18</v>
      </c>
      <c r="D30" s="48" t="s">
        <v>1092</v>
      </c>
      <c r="E30" s="7">
        <v>100.0</v>
      </c>
      <c r="F30" s="9" t="str">
        <f>_xlfn.IFERROR(AVERAGE(G30:AA30)+ROW()*0.0000001,"")</f>
        <v/>
      </c>
      <c r="G30" s="11" t="str">
        <f>Cek_F!E141</f>
        <v/>
      </c>
      <c r="H30" s="11" t="str">
        <f>Cek_F!F141</f>
        <v/>
      </c>
      <c r="I30" s="11" t="str">
        <f>Cek_F!G141</f>
        <v/>
      </c>
      <c r="J30" s="11" t="str">
        <f>Cek_F!H141</f>
        <v/>
      </c>
      <c r="K30" s="11" t="str">
        <f>Cek_F!I141</f>
        <v/>
      </c>
      <c r="L30" s="11" t="str">
        <f>Cek_F!J141</f>
        <v/>
      </c>
      <c r="M30" s="11" t="str">
        <f>Cek_F!K141</f>
        <v/>
      </c>
      <c r="N30" s="11" t="str">
        <f>Cek_F!L141</f>
        <v/>
      </c>
      <c r="O30" s="11" t="str">
        <f>Cek_F!M141</f>
        <v/>
      </c>
      <c r="P30" s="11" t="str">
        <f>Cek_F!N141</f>
        <v/>
      </c>
      <c r="Q30" s="11" t="str">
        <f>Cek_F!O141</f>
        <v/>
      </c>
      <c r="R30" s="11" t="str">
        <f>Cek_F!P141</f>
        <v/>
      </c>
      <c r="S30" s="11" t="str">
        <f>Cek_F!Q141</f>
        <v/>
      </c>
      <c r="T30" s="11" t="str">
        <f>Cek_F!R141</f>
        <v/>
      </c>
      <c r="U30" s="11" t="str">
        <f>Cek_F!S141</f>
        <v/>
      </c>
      <c r="V30" s="11" t="str">
        <f>Cek_F!T141</f>
        <v/>
      </c>
      <c r="W30" s="11" t="str">
        <f>Cek_F!U141</f>
        <v/>
      </c>
      <c r="X30" s="11" t="str">
        <f>Cek_F!V141</f>
        <v/>
      </c>
      <c r="Y30" s="11" t="str">
        <f>Cek_F!W141</f>
        <v/>
      </c>
      <c r="Z30" s="11" t="str">
        <f>Cek_F!X141</f>
        <v/>
      </c>
      <c r="AA30" s="11" t="str">
        <f>Cek_F!Y141</f>
        <v/>
      </c>
    </row>
  </sheetData>
  <mergeCells count="1">
    <mergeCell ref="A1:F1"/>
  </mergeCells>
  <conditionalFormatting sqref="F3:F30">
    <cfRule type="colorScale" priority="1">
      <colorScale>
        <cfvo type="num" val="0"/>
        <cfvo type="num" val="65"/>
        <cfvo type="num" val="100"/>
        <color rgb="00F4A6A6"/>
        <color rgb="00FFE699"/>
        <color rgb="00C6E0B4"/>
      </colorScale>
    </cfRule>
  </conditionalFormatting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2026-08-24T18:09:17Z</dcterms:created>
  <dcterms:modified xsi:type="dcterms:W3CDTF">2026-08-25T11:29:28Z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e697f78972bb4aa5b227340c6abe8ce7</vt:lpwstr>
  </property>
</Properties>
</file>